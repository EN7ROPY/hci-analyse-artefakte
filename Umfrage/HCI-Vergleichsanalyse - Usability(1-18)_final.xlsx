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shkvm1\niclas$\Studium\Bachelorarbeit\Interviews\Tag 2 - 30.07.2026\"/>
    </mc:Choice>
  </mc:AlternateContent>
  <xr:revisionPtr revIDLastSave="0" documentId="13_ncr:1_{1F0E3B52-42E1-4B09-AE76-0139882E76F9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SUS VMware" sheetId="2" r:id="rId1"/>
    <sheet name="SUS Nutanix" sheetId="3" r:id="rId2"/>
    <sheet name="SUS Proxmox" sheetId="4" r:id="rId3"/>
    <sheet name="Sheet1" sheetId="1" r:id="rId4"/>
    <sheet name="S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B2" i="5"/>
  <c r="B3" i="5"/>
  <c r="Y46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X15" i="2"/>
  <c r="X16" i="2"/>
  <c r="T2" i="2"/>
  <c r="T3" i="2"/>
  <c r="T4" i="2"/>
  <c r="T5" i="2"/>
  <c r="T6" i="2"/>
  <c r="U6" i="2" s="1"/>
  <c r="X6" i="2" s="1"/>
  <c r="T7" i="2"/>
  <c r="U7" i="2" s="1"/>
  <c r="X7" i="2" s="1"/>
  <c r="T8" i="2"/>
  <c r="U8" i="2" s="1"/>
  <c r="X8" i="2" s="1"/>
  <c r="T9" i="2"/>
  <c r="T10" i="2"/>
  <c r="U10" i="2" s="1"/>
  <c r="X10" i="2" s="1"/>
  <c r="T11" i="2"/>
  <c r="U11" i="2" s="1"/>
  <c r="X11" i="2" s="1"/>
  <c r="T12" i="2"/>
  <c r="U12" i="2" s="1"/>
  <c r="X12" i="2" s="1"/>
  <c r="T13" i="2"/>
  <c r="U13" i="2" s="1"/>
  <c r="X13" i="2" s="1"/>
  <c r="T14" i="2"/>
  <c r="U14" i="2" s="1"/>
  <c r="X14" i="2" s="1"/>
  <c r="T15" i="2"/>
  <c r="U15" i="2" s="1"/>
  <c r="T16" i="2"/>
  <c r="U16" i="2" s="1"/>
  <c r="T17" i="2"/>
  <c r="U17" i="2" s="1"/>
  <c r="T18" i="2"/>
  <c r="U18" i="2" s="1"/>
  <c r="X18" i="2" s="1"/>
  <c r="T19" i="2"/>
  <c r="U19" i="2" s="1"/>
  <c r="X19" i="2" s="1"/>
  <c r="U2" i="2"/>
  <c r="X2" i="2" s="1"/>
  <c r="U3" i="2"/>
  <c r="X3" i="2" s="1"/>
  <c r="U4" i="2"/>
  <c r="X4" i="2" s="1"/>
  <c r="U5" i="2"/>
  <c r="X5" i="2" s="1"/>
  <c r="U9" i="2"/>
  <c r="X9" i="2" s="1"/>
  <c r="V2" i="2"/>
  <c r="W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X17" i="2" s="1"/>
  <c r="V18" i="2"/>
  <c r="W18" i="2" s="1"/>
  <c r="V19" i="2"/>
  <c r="W19" i="2" s="1"/>
  <c r="Y46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X16" i="3"/>
  <c r="X17" i="3"/>
  <c r="W16" i="3"/>
  <c r="W17" i="3"/>
  <c r="T2" i="3"/>
  <c r="T3" i="3"/>
  <c r="T4" i="3"/>
  <c r="T5" i="3"/>
  <c r="U5" i="3" s="1"/>
  <c r="X5" i="3" s="1"/>
  <c r="T6" i="3"/>
  <c r="U6" i="3" s="1"/>
  <c r="X6" i="3" s="1"/>
  <c r="T7" i="3"/>
  <c r="U7" i="3" s="1"/>
  <c r="X7" i="3" s="1"/>
  <c r="T8" i="3"/>
  <c r="U8" i="3" s="1"/>
  <c r="X8" i="3" s="1"/>
  <c r="T9" i="3"/>
  <c r="U9" i="3" s="1"/>
  <c r="X9" i="3" s="1"/>
  <c r="T10" i="3"/>
  <c r="T11" i="3"/>
  <c r="U11" i="3" s="1"/>
  <c r="T12" i="3"/>
  <c r="U12" i="3" s="1"/>
  <c r="T13" i="3"/>
  <c r="U13" i="3" s="1"/>
  <c r="T14" i="3"/>
  <c r="U14" i="3" s="1"/>
  <c r="T15" i="3"/>
  <c r="U15" i="3" s="1"/>
  <c r="T16" i="3"/>
  <c r="U16" i="3" s="1"/>
  <c r="T17" i="3"/>
  <c r="U17" i="3" s="1"/>
  <c r="T18" i="3"/>
  <c r="U18" i="3" s="1"/>
  <c r="X18" i="3" s="1"/>
  <c r="T19" i="3"/>
  <c r="U19" i="3" s="1"/>
  <c r="X19" i="3" s="1"/>
  <c r="U2" i="3"/>
  <c r="X2" i="3" s="1"/>
  <c r="U3" i="3"/>
  <c r="X3" i="3" s="1"/>
  <c r="U4" i="3"/>
  <c r="X4" i="3" s="1"/>
  <c r="U10" i="3"/>
  <c r="V2" i="3"/>
  <c r="W2" i="3" s="1"/>
  <c r="V3" i="3"/>
  <c r="W3" i="3" s="1"/>
  <c r="V4" i="3"/>
  <c r="W4" i="3" s="1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X10" i="3" s="1"/>
  <c r="V11" i="3"/>
  <c r="W11" i="3" s="1"/>
  <c r="X11" i="3" s="1"/>
  <c r="V12" i="3"/>
  <c r="W12" i="3" s="1"/>
  <c r="X12" i="3" s="1"/>
  <c r="V13" i="3"/>
  <c r="W13" i="3" s="1"/>
  <c r="X13" i="3" s="1"/>
  <c r="V14" i="3"/>
  <c r="W14" i="3" s="1"/>
  <c r="X14" i="3" s="1"/>
  <c r="V15" i="3"/>
  <c r="W15" i="3" s="1"/>
  <c r="X15" i="3" s="1"/>
  <c r="V16" i="3"/>
  <c r="V17" i="3"/>
  <c r="V18" i="3"/>
  <c r="W18" i="3" s="1"/>
  <c r="V19" i="3"/>
  <c r="W19" i="3" s="1"/>
  <c r="Y46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T2" i="4"/>
  <c r="U2" i="4" s="1"/>
  <c r="X2" i="4" s="1"/>
  <c r="T3" i="4"/>
  <c r="T4" i="4"/>
  <c r="T5" i="4"/>
  <c r="T6" i="4"/>
  <c r="T7" i="4"/>
  <c r="T8" i="4"/>
  <c r="U8" i="4" s="1"/>
  <c r="X8" i="4" s="1"/>
  <c r="T9" i="4"/>
  <c r="U9" i="4" s="1"/>
  <c r="X9" i="4" s="1"/>
  <c r="T10" i="4"/>
  <c r="U10" i="4" s="1"/>
  <c r="X10" i="4" s="1"/>
  <c r="T11" i="4"/>
  <c r="U11" i="4" s="1"/>
  <c r="X11" i="4" s="1"/>
  <c r="T12" i="4"/>
  <c r="U12" i="4" s="1"/>
  <c r="X12" i="4" s="1"/>
  <c r="T13" i="4"/>
  <c r="U13" i="4" s="1"/>
  <c r="T14" i="4"/>
  <c r="U14" i="4" s="1"/>
  <c r="T15" i="4"/>
  <c r="U15" i="4" s="1"/>
  <c r="T16" i="4"/>
  <c r="U16" i="4" s="1"/>
  <c r="X16" i="4" s="1"/>
  <c r="T17" i="4"/>
  <c r="U17" i="4" s="1"/>
  <c r="X17" i="4" s="1"/>
  <c r="T18" i="4"/>
  <c r="U18" i="4" s="1"/>
  <c r="X18" i="4" s="1"/>
  <c r="T19" i="4"/>
  <c r="U19" i="4" s="1"/>
  <c r="X19" i="4" s="1"/>
  <c r="U3" i="4"/>
  <c r="X3" i="4" s="1"/>
  <c r="U4" i="4"/>
  <c r="X4" i="4" s="1"/>
  <c r="U5" i="4"/>
  <c r="X5" i="4" s="1"/>
  <c r="U6" i="4"/>
  <c r="X6" i="4" s="1"/>
  <c r="U7" i="4"/>
  <c r="X7" i="4" s="1"/>
  <c r="V2" i="4"/>
  <c r="W2" i="4" s="1"/>
  <c r="V3" i="4"/>
  <c r="W3" i="4" s="1"/>
  <c r="V4" i="4"/>
  <c r="W4" i="4" s="1"/>
  <c r="V5" i="4"/>
  <c r="W5" i="4" s="1"/>
  <c r="V6" i="4"/>
  <c r="W6" i="4" s="1"/>
  <c r="V7" i="4"/>
  <c r="W7" i="4" s="1"/>
  <c r="V8" i="4"/>
  <c r="W8" i="4" s="1"/>
  <c r="V9" i="4"/>
  <c r="W9" i="4" s="1"/>
  <c r="V10" i="4"/>
  <c r="W10" i="4" s="1"/>
  <c r="V11" i="4"/>
  <c r="W11" i="4" s="1"/>
  <c r="V12" i="4"/>
  <c r="W12" i="4" s="1"/>
  <c r="V13" i="4"/>
  <c r="W13" i="4" s="1"/>
  <c r="X13" i="4" s="1"/>
  <c r="V14" i="4"/>
  <c r="W14" i="4" s="1"/>
  <c r="X14" i="4" s="1"/>
  <c r="V15" i="4"/>
  <c r="W15" i="4" s="1"/>
  <c r="X15" i="4" s="1"/>
  <c r="V16" i="4"/>
  <c r="W16" i="4" s="1"/>
  <c r="V17" i="4"/>
  <c r="W17" i="4" s="1"/>
  <c r="V18" i="4"/>
  <c r="W18" i="4" s="1"/>
  <c r="V19" i="4"/>
  <c r="W19" i="4" s="1"/>
</calcChain>
</file>

<file path=xl/sharedStrings.xml><?xml version="1.0" encoding="utf-8"?>
<sst xmlns="http://schemas.openxmlformats.org/spreadsheetml/2006/main" count="1001" uniqueCount="52">
  <si>
    <t>ID</t>
  </si>
  <si>
    <t>Startzeit</t>
  </si>
  <si>
    <t>Fertigstellungszeit</t>
  </si>
  <si>
    <t>E-Mail</t>
  </si>
  <si>
    <t>Name</t>
  </si>
  <si>
    <t>Zeitpunkt der letzten Änderung</t>
  </si>
  <si>
    <t>Ich habe Erfahrung in der Benutzung von "VMware vSphere".</t>
  </si>
  <si>
    <t>Ich habe Erfahrung in der Benutzung von "Nutanix NCI".</t>
  </si>
  <si>
    <t>Ich habe Erfahrung in der Benutzung von "Proxmox Virtual Environment".</t>
  </si>
  <si>
    <t>1.01: Ich denke, dass ich das System gerne häufig benutzen würde.</t>
  </si>
  <si>
    <t>1.02: Ich fand das System unnötig komplex.</t>
  </si>
  <si>
    <t>1.03: Ich fand das System einfach zu benutzen.</t>
  </si>
  <si>
    <t>1.04: Ich glaube, ich würde die Hilfe einer technisch versierten Person benötigen, um das System benutzen zu können.</t>
  </si>
  <si>
    <t>1.05: Ich fand, die verschiedenen Funktionen in diesem System waren gut integriert.</t>
  </si>
  <si>
    <t>1.06: Ich denke, das System enthielt zu viele Inkonsistenzen.</t>
  </si>
  <si>
    <t>1.07: Ich kann mir vorstellen, dass die meisten Menschen den Umgang mit diesem System sehr schnell lernen.</t>
  </si>
  <si>
    <t xml:space="preserve">1.08: Ich fand das System sehr umständlich zu nutzen.
</t>
  </si>
  <si>
    <t xml:space="preserve">1.09: Ich fühlte mich bei der Benutzung des Systems sehr sicher.
</t>
  </si>
  <si>
    <t xml:space="preserve">1.10: Ich musste eine Menge lernen, bevor ich anfangen konnte das System zu verwenden.
</t>
  </si>
  <si>
    <t>2.01: Ich denke, dass ich das System gerne häufig benutzen würde.</t>
  </si>
  <si>
    <t>2.02: Ich fand das System unnötig komplex.</t>
  </si>
  <si>
    <t>2.03: Ich fand das System einfach zu benutzen.</t>
  </si>
  <si>
    <t>2.04: Ich glaube, ich würde die Hilfe einer technisch versierten Person benötigen, um das System benutzen zu können.</t>
  </si>
  <si>
    <t>2.05: Ich fand, die verschiedenen Funktionen in diesem System waren gut integriert.</t>
  </si>
  <si>
    <t>2.06: Ich denke, das System enthielt zu viele Inkonsistenzen.</t>
  </si>
  <si>
    <t>2.07: Ich kann mir vorstellen, dass die meisten Menschen den Umgang mit diesem System sehr schnell lernen.</t>
  </si>
  <si>
    <t xml:space="preserve">2.08: Ich fand das System sehr umständlich zu nutzen.
</t>
  </si>
  <si>
    <t xml:space="preserve">2.09: Ich fühlte mich bei der Benutzung des Systems sehr sicher.
</t>
  </si>
  <si>
    <t xml:space="preserve">2.10: Ich musste eine Menge lernen, bevor ich anfangen konnte das System zu verwenden.
</t>
  </si>
  <si>
    <t>3.01: Ich denke, dass ich das System gerne häufig benutzen würde.</t>
  </si>
  <si>
    <t>3.02: Ich fand das System unnötig komplex.</t>
  </si>
  <si>
    <t>3.03: Ich fand das System einfach zu benutzen.</t>
  </si>
  <si>
    <t>3.04: Ich glaube, ich würde die Hilfe einer technisch versierten Person benötigen, um das System benutzen zu können.</t>
  </si>
  <si>
    <t>3.05: Ich fand, die verschiedenen Funktionen in diesem System waren gut integriert.</t>
  </si>
  <si>
    <t>3.06: Ich denke, das System enthielt zu viele Inkonsistenzen.</t>
  </si>
  <si>
    <t>3.07: Ich kann mir vorstellen, dass die meisten Menschen den Umgang mit diesem System sehr schnell lernen.</t>
  </si>
  <si>
    <t xml:space="preserve">3.08: Ich fand das System sehr umständlich zu nutzen.
</t>
  </si>
  <si>
    <t xml:space="preserve">3.09: Ich fühlte mich bei der Benutzung des Systems sehr sicher.
</t>
  </si>
  <si>
    <t xml:space="preserve">3.10: Ich musste eine Menge lernen, bevor ich anfangen konnte das System zu verwenden.
</t>
  </si>
  <si>
    <t>anonymous</t>
  </si>
  <si>
    <t>3</t>
  </si>
  <si>
    <t>4</t>
  </si>
  <si>
    <t>2</t>
  </si>
  <si>
    <t>SUS Sum: 1,3,5,7,9</t>
  </si>
  <si>
    <t>SUS -1 Sum:</t>
  </si>
  <si>
    <t>SUS Sum: 2,4,6,8,10</t>
  </si>
  <si>
    <t>SUS 5 - x Sum:</t>
  </si>
  <si>
    <t>Sum:</t>
  </si>
  <si>
    <t>Final SUS:</t>
  </si>
  <si>
    <t>VMware</t>
  </si>
  <si>
    <t>Nutanix</t>
  </si>
  <si>
    <t>Proxmox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</si>
</sst>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1" fillId="2" borderId="0" xfId="1"/>
  </cellXfs>
  <cellStyles count="2">
    <cellStyle name="Neutral" xfId="1" builtinId="28"/>
    <cellStyle name="Standard" xfId="0" builtinId="0"/>
  </cellStyles>
  <dxfs count="114"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0" formatCode="General"/>
      <alignment horizontal="right" indent="0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6B2D3B-2DC5-4D5C-BB6A-F4001075657C}" name="Table13" displayName="Table13" ref="A1:Y19" totalsRowShown="0">
  <autoFilter ref="A1:Y19" xr:uid="{00000000-0009-0000-0100-000001000000}"/>
  <tableColumns count="25">
    <tableColumn id="1" xr3:uid="{6394682C-5878-474B-B400-F9425A1A73BB}" name="ID" dataDxfId="74"/>
    <tableColumn id="2" xr3:uid="{70DB7C2E-9061-4196-AC81-194CB1174217}" name="Startzeit" dataDxfId="73"/>
    <tableColumn id="3" xr3:uid="{D751AD38-4C04-40BE-B7F7-567DCC935964}" name="Fertigstellungszeit" dataDxfId="72"/>
    <tableColumn id="4" xr3:uid="{D5FF2EDA-2CF1-4D7F-A791-7EAF87E5D734}" name="E-Mail" dataDxfId="71"/>
    <tableColumn id="5" xr3:uid="{5E50A04E-E5E3-452F-9849-F70DA86A8100}" name="Name" dataDxfId="70"/>
    <tableColumn id="6" xr3:uid="{F7807DA0-8D18-4433-89AB-DAFD5B62D26F}" name="Zeitpunkt der letzten Änderung" dataDxfId="69"/>
    <tableColumn id="7" xr3:uid="{17A698A6-910E-4229-B81A-D7EC2A195906}" name="Ich habe Erfahrung in der Benutzung von &quot;VMware vSphere&quot;." dataDxfId="68"/>
    <tableColumn id="8" xr3:uid="{D43F6CC4-6BB1-480E-83BA-15DE14477064}" name="Ich habe Erfahrung in der Benutzung von &quot;Nutanix NCI&quot;." dataDxfId="67"/>
    <tableColumn id="9" xr3:uid="{62F54E61-2B5E-49E6-8E53-BF2B17C39A52}" name="Ich habe Erfahrung in der Benutzung von &quot;Proxmox Virtual Environment&quot;." dataDxfId="66"/>
    <tableColumn id="10" xr3:uid="{FA5E61AA-977D-40CD-B2B9-3D9576401773}" name="1.01: Ich denke, dass ich das System gerne häufig benutzen würde." dataDxfId="65"/>
    <tableColumn id="11" xr3:uid="{B3BD439F-AE7D-4C28-BC43-A17DE2BF9769}" name="1.02: Ich fand das System unnötig komplex." dataDxfId="64"/>
    <tableColumn id="12" xr3:uid="{2A135A4D-2685-4271-8CC0-44CF9A14E9CF}" name="1.03: Ich fand das System einfach zu benutzen." dataDxfId="63"/>
    <tableColumn id="13" xr3:uid="{657201DC-79FB-47C9-8D3B-3CCB06830C07}" name="1.04: Ich glaube, ich würde die Hilfe einer technisch versierten Person benötigen, um das System benutzen zu können." dataDxfId="62"/>
    <tableColumn id="14" xr3:uid="{A3C0BDEC-7E7D-4E9D-8770-F4D35C564DFD}" name="1.05: Ich fand, die verschiedenen Funktionen in diesem System waren gut integriert." dataDxfId="61"/>
    <tableColumn id="15" xr3:uid="{B73D8747-2D44-4FBD-AF20-9D4DAF746697}" name="1.06: Ich denke, das System enthielt zu viele Inkonsistenzen." dataDxfId="60"/>
    <tableColumn id="16" xr3:uid="{80E8D89C-0363-4EA5-949C-6FE1CACA903D}" name="1.07: Ich kann mir vorstellen, dass die meisten Menschen den Umgang mit diesem System sehr schnell lernen." dataDxfId="59"/>
    <tableColumn id="17" xr3:uid="{079073B4-D3AD-46F7-A355-0FCDAACA6B96}" name="1.08: Ich fand das System sehr umständlich zu nutzen._x000a_" dataDxfId="58"/>
    <tableColumn id="18" xr3:uid="{2D1B0A04-BB08-4B33-86C6-0A2A24F4223E}" name="1.09: Ich fühlte mich bei der Benutzung des Systems sehr sicher._x000a_" dataDxfId="57"/>
    <tableColumn id="19" xr3:uid="{90935E8F-24A8-4B8A-A56F-C803D43D17DC}" name="1.10: Ich musste eine Menge lernen, bevor ich anfangen konnte das System zu verwenden._x000a_" dataDxfId="56"/>
    <tableColumn id="20" xr3:uid="{A0695211-1C78-478E-8D82-1EF24ED5CE05}" name="SUS Sum: 1,3,5,7,9" dataDxfId="5">
      <calculatedColumnFormula>SUM(J2-1,L2-1,N2-1,P2-1,R2-1)</calculatedColumnFormula>
    </tableColumn>
    <tableColumn id="21" xr3:uid="{4022AD86-2C1B-4868-896B-CC350040AD4D}" name="SUS -1 Sum:" dataDxfId="4">
      <calculatedColumnFormula>T2</calculatedColumnFormula>
    </tableColumn>
    <tableColumn id="22" xr3:uid="{29F2026A-2008-4A29-83DB-0B764F888D58}" name="SUS Sum: 2,4,6,8,10" dataDxfId="3">
      <calculatedColumnFormula>SUM(5-K2,5-M2,5-O2,5-Q2,5-S2)</calculatedColumnFormula>
    </tableColumn>
    <tableColumn id="23" xr3:uid="{7C1C4E47-4F16-4D60-A6A8-04786BB50C3D}" name="SUS 5 - x Sum:" dataDxfId="2">
      <calculatedColumnFormula>V2</calculatedColumnFormula>
    </tableColumn>
    <tableColumn id="24" xr3:uid="{9828EE0E-0EB8-4341-BFA6-1E72A9AA97D0}" name="Sum:" dataDxfId="1">
      <calculatedColumnFormula>SUM(U2,W2)</calculatedColumnFormula>
    </tableColumn>
    <tableColumn id="25" xr3:uid="{590B0FDB-2D82-433B-942E-7A491ACAD15C}" name="Final SUS:" dataDxfId="0">
      <calculatedColumnFormula>X2*2.5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F8FE80-F37F-4D4B-A22E-0A800EB53F8F}" name="Table14" displayName="Table14" ref="A1:Y19" totalsRowShown="0">
  <autoFilter ref="A1:Y19" xr:uid="{00000000-0009-0000-0100-000001000000}"/>
  <tableColumns count="25">
    <tableColumn id="1" xr3:uid="{9F1C3938-43B2-4816-B87B-FCAD39DBF7D4}" name="ID" dataDxfId="55"/>
    <tableColumn id="2" xr3:uid="{F4AC677E-8AE7-4536-881A-782018D89505}" name="Startzeit" dataDxfId="54"/>
    <tableColumn id="3" xr3:uid="{6D4374AE-FD68-4129-A650-C7C5391E6727}" name="Fertigstellungszeit" dataDxfId="53"/>
    <tableColumn id="4" xr3:uid="{C8BDE7D1-BAEE-4E66-A248-13B66D58F1E9}" name="E-Mail" dataDxfId="52"/>
    <tableColumn id="5" xr3:uid="{9363F041-BD3A-4DBE-AC3C-378B3A981949}" name="Name" dataDxfId="51"/>
    <tableColumn id="6" xr3:uid="{F64087B8-6D4D-4B47-94C6-C03152CC6979}" name="Zeitpunkt der letzten Änderung" dataDxfId="50"/>
    <tableColumn id="7" xr3:uid="{E57D2CBB-26CB-4005-9FCE-FA5E3B6A69C4}" name="Ich habe Erfahrung in der Benutzung von &quot;VMware vSphere&quot;." dataDxfId="49"/>
    <tableColumn id="8" xr3:uid="{CE911E5A-7016-42D3-A941-4480E9951927}" name="Ich habe Erfahrung in der Benutzung von &quot;Nutanix NCI&quot;." dataDxfId="48"/>
    <tableColumn id="9" xr3:uid="{6E81DE7A-385A-4093-8B28-C4157C19EFCD}" name="Ich habe Erfahrung in der Benutzung von &quot;Proxmox Virtual Environment&quot;." dataDxfId="47"/>
    <tableColumn id="20" xr3:uid="{5903EB9E-7939-4121-B81B-C76D19C770FD}" name="2.01: Ich denke, dass ich das System gerne häufig benutzen würde." dataDxfId="46"/>
    <tableColumn id="21" xr3:uid="{B4ADFEDF-D32A-4B91-9CD5-67FF2C16E95A}" name="2.02: Ich fand das System unnötig komplex." dataDxfId="45"/>
    <tableColumn id="22" xr3:uid="{AB1ED675-CBC0-47FA-800C-2FFEAF790F0A}" name="2.03: Ich fand das System einfach zu benutzen." dataDxfId="44"/>
    <tableColumn id="23" xr3:uid="{3F61170C-B782-481C-8AD4-6A92FE3E1495}" name="2.04: Ich glaube, ich würde die Hilfe einer technisch versierten Person benötigen, um das System benutzen zu können." dataDxfId="43"/>
    <tableColumn id="24" xr3:uid="{FE0A761F-D88A-423D-9168-747C03EB484E}" name="2.05: Ich fand, die verschiedenen Funktionen in diesem System waren gut integriert." dataDxfId="42"/>
    <tableColumn id="25" xr3:uid="{4B0833E9-3CD2-4F16-8A02-7C04882B5FCD}" name="2.06: Ich denke, das System enthielt zu viele Inkonsistenzen." dataDxfId="41"/>
    <tableColumn id="26" xr3:uid="{F032737A-9042-4DB3-BBED-9572E137133A}" name="2.07: Ich kann mir vorstellen, dass die meisten Menschen den Umgang mit diesem System sehr schnell lernen." dataDxfId="40"/>
    <tableColumn id="27" xr3:uid="{1B8A94D1-C84F-4221-A05E-4AEF052DDAE9}" name="2.08: Ich fand das System sehr umständlich zu nutzen._x000a_" dataDxfId="39"/>
    <tableColumn id="28" xr3:uid="{DFAF467C-8957-4A41-90E3-C66C18D8D78C}" name="2.09: Ich fühlte mich bei der Benutzung des Systems sehr sicher._x000a_" dataDxfId="38"/>
    <tableColumn id="29" xr3:uid="{3D7003EF-2231-4C8B-9B4F-A4D4ECB9B940}" name="2.10: Ich musste eine Menge lernen, bevor ich anfangen konnte das System zu verwenden._x000a_" dataDxfId="37"/>
    <tableColumn id="10" xr3:uid="{8900C801-6546-4CDB-8D08-B683B797C9D9}" name="SUS Sum: 1,3,5,7,9" dataDxfId="11">
      <calculatedColumnFormula>SUM(J2-1,L2-1,N2-1,P2-1,R2-1)</calculatedColumnFormula>
    </tableColumn>
    <tableColumn id="11" xr3:uid="{83AE7F8A-EAB2-4A6C-AD37-6681C3C29160}" name="SUS -1 Sum:" dataDxfId="10">
      <calculatedColumnFormula>T2</calculatedColumnFormula>
    </tableColumn>
    <tableColumn id="12" xr3:uid="{9B496BDE-4253-43BB-8CE6-465CD0930600}" name="SUS Sum: 2,4,6,8,10" dataDxfId="9">
      <calculatedColumnFormula>SUM(5-K2,5-M2,5-O2,5-Q2,5-S2)</calculatedColumnFormula>
    </tableColumn>
    <tableColumn id="13" xr3:uid="{11C8A643-B867-4B89-897C-36FDEF6DAE57}" name="SUS 5 - x Sum:" dataDxfId="8">
      <calculatedColumnFormula>V2</calculatedColumnFormula>
    </tableColumn>
    <tableColumn id="14" xr3:uid="{BCEE93AF-A595-4FBF-8667-8A06A8CFAAA0}" name="Sum:" dataDxfId="7">
      <calculatedColumnFormula>SUM(U2,W2)</calculatedColumnFormula>
    </tableColumn>
    <tableColumn id="15" xr3:uid="{86696F50-334C-473F-9618-80F984A2957C}" name="Final SUS:" dataDxfId="6">
      <calculatedColumnFormula>X2*2.5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718EF4-D187-4314-B89A-0EF2F5D204EA}" name="Table15" displayName="Table15" ref="A1:Y19" totalsRowShown="0">
  <autoFilter ref="A1:Y19" xr:uid="{00000000-0009-0000-0100-000001000000}"/>
  <tableColumns count="25">
    <tableColumn id="1" xr3:uid="{854E85EC-B98A-4F4A-92D5-3E28C3685D48}" name="ID" dataDxfId="36"/>
    <tableColumn id="2" xr3:uid="{1D5DEE29-D1B3-4FBB-BB6F-F887859824BF}" name="Startzeit" dataDxfId="35"/>
    <tableColumn id="3" xr3:uid="{CA281DF8-0776-41F5-B555-EDD328983205}" name="Fertigstellungszeit" dataDxfId="34"/>
    <tableColumn id="4" xr3:uid="{2D13C8B5-B5CF-45D7-8D21-495A14EB40F3}" name="E-Mail" dataDxfId="33"/>
    <tableColumn id="5" xr3:uid="{1B06BD51-460E-4709-B4C2-471FA7395713}" name="Name" dataDxfId="32"/>
    <tableColumn id="6" xr3:uid="{5A6C613C-552C-4C8D-8D09-AECE44CE785C}" name="Zeitpunkt der letzten Änderung" dataDxfId="31"/>
    <tableColumn id="7" xr3:uid="{AE06DC11-E7E7-4F9D-AC4A-699D747AD9AA}" name="Ich habe Erfahrung in der Benutzung von &quot;VMware vSphere&quot;." dataDxfId="30"/>
    <tableColumn id="8" xr3:uid="{B8D493C1-BE0D-4B7E-B89F-C66F42B89F44}" name="Ich habe Erfahrung in der Benutzung von &quot;Nutanix NCI&quot;." dataDxfId="29"/>
    <tableColumn id="9" xr3:uid="{34B3885E-20CE-42A2-B7F9-A9018E28F51D}" name="Ich habe Erfahrung in der Benutzung von &quot;Proxmox Virtual Environment&quot;." dataDxfId="28"/>
    <tableColumn id="30" xr3:uid="{522A4B3B-A16D-45B3-8722-1D139B672DD1}" name="3.01: Ich denke, dass ich das System gerne häufig benutzen würde." dataDxfId="27"/>
    <tableColumn id="31" xr3:uid="{67548E91-EA6C-4D39-8A5C-BF1323C75703}" name="3.02: Ich fand das System unnötig komplex." dataDxfId="26"/>
    <tableColumn id="32" xr3:uid="{FB2E3B1C-6162-46FC-8CFB-498D337BF07C}" name="3.03: Ich fand das System einfach zu benutzen." dataDxfId="25"/>
    <tableColumn id="33" xr3:uid="{99B89D89-41CC-4A75-BBC1-2857B1DDB487}" name="3.04: Ich glaube, ich würde die Hilfe einer technisch versierten Person benötigen, um das System benutzen zu können." dataDxfId="24"/>
    <tableColumn id="34" xr3:uid="{3B17F4D7-3EB0-4494-8ABE-6EAC3945AC9C}" name="3.05: Ich fand, die verschiedenen Funktionen in diesem System waren gut integriert." dataDxfId="23"/>
    <tableColumn id="35" xr3:uid="{A379930C-332F-489F-9E2F-99FC0915322E}" name="3.06: Ich denke, das System enthielt zu viele Inkonsistenzen." dataDxfId="22"/>
    <tableColumn id="36" xr3:uid="{D641A68B-8E4B-4EB6-9381-4B1B8FC2FC3A}" name="3.07: Ich kann mir vorstellen, dass die meisten Menschen den Umgang mit diesem System sehr schnell lernen." dataDxfId="21"/>
    <tableColumn id="37" xr3:uid="{9D99E20B-736A-4B47-AF01-C440D6EC856B}" name="3.08: Ich fand das System sehr umständlich zu nutzen._x000a_" dataDxfId="20"/>
    <tableColumn id="38" xr3:uid="{0EEEACD1-71C4-478A-8C80-FE8650AB02EA}" name="3.09: Ich fühlte mich bei der Benutzung des Systems sehr sicher._x000a_" dataDxfId="19"/>
    <tableColumn id="39" xr3:uid="{EFC30ADD-33C5-4782-99C8-088B1FE282BC}" name="3.10: Ich musste eine Menge lernen, bevor ich anfangen konnte das System zu verwenden._x000a_" dataDxfId="18"/>
    <tableColumn id="10" xr3:uid="{B72E1752-F732-4645-93E8-19D0A221B728}" name="SUS Sum: 1,3,5,7,9" dataDxfId="17">
      <calculatedColumnFormula>SUM(J2-1,L2-1,N2-1,P2-1,R2-1)</calculatedColumnFormula>
    </tableColumn>
    <tableColumn id="11" xr3:uid="{F57D593B-47CE-4073-A225-99A12CA1CE48}" name="SUS -1 Sum:" dataDxfId="16">
      <calculatedColumnFormula>T2</calculatedColumnFormula>
    </tableColumn>
    <tableColumn id="12" xr3:uid="{0E427B2F-FA0F-403B-9858-D2018B23BD0C}" name="SUS Sum: 2,4,6,8,10" dataDxfId="15">
      <calculatedColumnFormula>SUM(5-K2,5-M2,5-O2,5-Q2,5-S2)</calculatedColumnFormula>
    </tableColumn>
    <tableColumn id="13" xr3:uid="{6F02D53D-F5D4-4CB3-BAF1-EFFA4E6CA35B}" name="SUS 5 - x Sum:" dataDxfId="14">
      <calculatedColumnFormula>V2</calculatedColumnFormula>
    </tableColumn>
    <tableColumn id="14" xr3:uid="{E6BD8FD4-B1D9-48E5-B26E-1EDBE7BF570C}" name="Sum:" dataDxfId="13">
      <calculatedColumnFormula>SUM(U2,W2)</calculatedColumnFormula>
    </tableColumn>
    <tableColumn id="15" xr3:uid="{36FD5729-9FF4-47AE-9DB8-4D54A8FCD879}" name="Final SUS:" dataDxfId="12">
      <calculatedColumnFormula>X2*2.5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19" totalsRowShown="0">
  <autoFilter ref="A1:AM19" xr:uid="{00000000-0009-0000-0100-000001000000}"/>
  <tableColumns count="39">
    <tableColumn id="1" xr3:uid="{00000000-0010-0000-0000-000001000000}" name="ID" dataDxfId="113"/>
    <tableColumn id="2" xr3:uid="{00000000-0010-0000-0000-000002000000}" name="Startzeit" dataDxfId="112"/>
    <tableColumn id="3" xr3:uid="{00000000-0010-0000-0000-000003000000}" name="Fertigstellungszeit" dataDxfId="111"/>
    <tableColumn id="4" xr3:uid="{00000000-0010-0000-0000-000004000000}" name="E-Mail" dataDxfId="110"/>
    <tableColumn id="5" xr3:uid="{00000000-0010-0000-0000-000005000000}" name="Name" dataDxfId="109"/>
    <tableColumn id="6" xr3:uid="{00000000-0010-0000-0000-000006000000}" name="Zeitpunkt der letzten Änderung" dataDxfId="108"/>
    <tableColumn id="7" xr3:uid="{00000000-0010-0000-0000-000007000000}" name="Ich habe Erfahrung in der Benutzung von &quot;VMware vSphere&quot;." dataDxfId="107"/>
    <tableColumn id="8" xr3:uid="{00000000-0010-0000-0000-000008000000}" name="Ich habe Erfahrung in der Benutzung von &quot;Nutanix NCI&quot;." dataDxfId="106"/>
    <tableColumn id="9" xr3:uid="{00000000-0010-0000-0000-000009000000}" name="Ich habe Erfahrung in der Benutzung von &quot;Proxmox Virtual Environment&quot;." dataDxfId="105"/>
    <tableColumn id="10" xr3:uid="{00000000-0010-0000-0000-00000A000000}" name="1.01: Ich denke, dass ich das System gerne häufig benutzen würde." dataDxfId="104"/>
    <tableColumn id="11" xr3:uid="{00000000-0010-0000-0000-00000B000000}" name="1.02: Ich fand das System unnötig komplex." dataDxfId="103"/>
    <tableColumn id="12" xr3:uid="{00000000-0010-0000-0000-00000C000000}" name="1.03: Ich fand das System einfach zu benutzen." dataDxfId="102"/>
    <tableColumn id="13" xr3:uid="{00000000-0010-0000-0000-00000D000000}" name="1.04: Ich glaube, ich würde die Hilfe einer technisch versierten Person benötigen, um das System benutzen zu können." dataDxfId="101"/>
    <tableColumn id="14" xr3:uid="{00000000-0010-0000-0000-00000E000000}" name="1.05: Ich fand, die verschiedenen Funktionen in diesem System waren gut integriert." dataDxfId="100"/>
    <tableColumn id="15" xr3:uid="{00000000-0010-0000-0000-00000F000000}" name="1.06: Ich denke, das System enthielt zu viele Inkonsistenzen." dataDxfId="99"/>
    <tableColumn id="16" xr3:uid="{00000000-0010-0000-0000-000010000000}" name="1.07: Ich kann mir vorstellen, dass die meisten Menschen den Umgang mit diesem System sehr schnell lernen." dataDxfId="98"/>
    <tableColumn id="17" xr3:uid="{00000000-0010-0000-0000-000011000000}" name="1.08: Ich fand das System sehr umständlich zu nutzen._x000a_" dataDxfId="97"/>
    <tableColumn id="18" xr3:uid="{00000000-0010-0000-0000-000012000000}" name="1.09: Ich fühlte mich bei der Benutzung des Systems sehr sicher._x000a_" dataDxfId="96"/>
    <tableColumn id="19" xr3:uid="{00000000-0010-0000-0000-000013000000}" name="1.10: Ich musste eine Menge lernen, bevor ich anfangen konnte das System zu verwenden._x000a_" dataDxfId="95"/>
    <tableColumn id="20" xr3:uid="{00000000-0010-0000-0000-000014000000}" name="2.01: Ich denke, dass ich das System gerne häufig benutzen würde." dataDxfId="94"/>
    <tableColumn id="21" xr3:uid="{00000000-0010-0000-0000-000015000000}" name="2.02: Ich fand das System unnötig komplex." dataDxfId="93"/>
    <tableColumn id="22" xr3:uid="{00000000-0010-0000-0000-000016000000}" name="2.03: Ich fand das System einfach zu benutzen." dataDxfId="92"/>
    <tableColumn id="23" xr3:uid="{00000000-0010-0000-0000-000017000000}" name="2.04: Ich glaube, ich würde die Hilfe einer technisch versierten Person benötigen, um das System benutzen zu können." dataDxfId="91"/>
    <tableColumn id="24" xr3:uid="{00000000-0010-0000-0000-000018000000}" name="2.05: Ich fand, die verschiedenen Funktionen in diesem System waren gut integriert." dataDxfId="90"/>
    <tableColumn id="25" xr3:uid="{00000000-0010-0000-0000-000019000000}" name="2.06: Ich denke, das System enthielt zu viele Inkonsistenzen." dataDxfId="89"/>
    <tableColumn id="26" xr3:uid="{00000000-0010-0000-0000-00001A000000}" name="2.07: Ich kann mir vorstellen, dass die meisten Menschen den Umgang mit diesem System sehr schnell lernen." dataDxfId="88"/>
    <tableColumn id="27" xr3:uid="{00000000-0010-0000-0000-00001B000000}" name="2.08: Ich fand das System sehr umständlich zu nutzen._x000a_" dataDxfId="87"/>
    <tableColumn id="28" xr3:uid="{00000000-0010-0000-0000-00001C000000}" name="2.09: Ich fühlte mich bei der Benutzung des Systems sehr sicher._x000a_" dataDxfId="86"/>
    <tableColumn id="29" xr3:uid="{00000000-0010-0000-0000-00001D000000}" name="2.10: Ich musste eine Menge lernen, bevor ich anfangen konnte das System zu verwenden._x000a_" dataDxfId="85"/>
    <tableColumn id="30" xr3:uid="{00000000-0010-0000-0000-00001E000000}" name="3.01: Ich denke, dass ich das System gerne häufig benutzen würde." dataDxfId="84"/>
    <tableColumn id="31" xr3:uid="{00000000-0010-0000-0000-00001F000000}" name="3.02: Ich fand das System unnötig komplex." dataDxfId="83"/>
    <tableColumn id="32" xr3:uid="{00000000-0010-0000-0000-000020000000}" name="3.03: Ich fand das System einfach zu benutzen." dataDxfId="82"/>
    <tableColumn id="33" xr3:uid="{00000000-0010-0000-0000-000021000000}" name="3.04: Ich glaube, ich würde die Hilfe einer technisch versierten Person benötigen, um das System benutzen zu können." dataDxfId="81"/>
    <tableColumn id="34" xr3:uid="{00000000-0010-0000-0000-000022000000}" name="3.05: Ich fand, die verschiedenen Funktionen in diesem System waren gut integriert." dataDxfId="80"/>
    <tableColumn id="35" xr3:uid="{00000000-0010-0000-0000-000023000000}" name="3.06: Ich denke, das System enthielt zu viele Inkonsistenzen." dataDxfId="79"/>
    <tableColumn id="36" xr3:uid="{00000000-0010-0000-0000-000024000000}" name="3.07: Ich kann mir vorstellen, dass die meisten Menschen den Umgang mit diesem System sehr schnell lernen." dataDxfId="78"/>
    <tableColumn id="37" xr3:uid="{00000000-0010-0000-0000-000025000000}" name="3.08: Ich fand das System sehr umständlich zu nutzen._x000a_" dataDxfId="77"/>
    <tableColumn id="38" xr3:uid="{00000000-0010-0000-0000-000026000000}" name="3.09: Ich fühlte mich bei der Benutzung des Systems sehr sicher._x000a_" dataDxfId="76"/>
    <tableColumn id="39" xr3:uid="{00000000-0010-0000-0000-000027000000}" name="3.10: Ich musste eine Menge lernen, bevor ich anfangen konnte das System zu verwenden._x000a_" dataDxfId="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ADB8-CC24-4889-BF91-2DCBFAF5E922}">
  <dimension ref="A1:Z47"/>
  <sheetViews>
    <sheetView topLeftCell="N1" workbookViewId="0">
      <selection activeCell="B27" sqref="B27"/>
    </sheetView>
  </sheetViews>
  <sheetFormatPr baseColWidth="10" defaultColWidth="9.140625" defaultRowHeight="15" x14ac:dyDescent="0.25"/>
  <cols>
    <col min="1" max="19" width="20" bestFit="1" customWidth="1"/>
    <col min="20" max="20" width="19.42578125" bestFit="1" customWidth="1"/>
    <col min="21" max="21" width="13.7109375" bestFit="1" customWidth="1"/>
    <col min="22" max="22" width="20.42578125" bestFit="1" customWidth="1"/>
    <col min="23" max="23" width="15.5703125" bestFit="1" customWidth="1"/>
    <col min="24" max="24" width="7.7109375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</row>
    <row r="2" spans="1:25" x14ac:dyDescent="0.25">
      <c r="A2">
        <v>2</v>
      </c>
      <c r="B2" s="1">
        <v>46219.572534722225</v>
      </c>
      <c r="C2" s="1">
        <v>46219.577465277776</v>
      </c>
      <c r="D2" t="s">
        <v>39</v>
      </c>
      <c r="F2" s="1"/>
      <c r="G2" s="2" t="s">
        <v>40</v>
      </c>
      <c r="H2" s="3">
        <v>1</v>
      </c>
      <c r="I2" s="2" t="s">
        <v>41</v>
      </c>
      <c r="J2" s="2" t="s">
        <v>41</v>
      </c>
      <c r="K2" s="2" t="s">
        <v>42</v>
      </c>
      <c r="L2" s="2" t="s">
        <v>41</v>
      </c>
      <c r="M2" s="3">
        <v>1</v>
      </c>
      <c r="N2" s="2" t="s">
        <v>41</v>
      </c>
      <c r="O2" s="3">
        <v>1</v>
      </c>
      <c r="P2" s="3">
        <v>5</v>
      </c>
      <c r="Q2" s="2" t="s">
        <v>42</v>
      </c>
      <c r="R2" s="2" t="s">
        <v>40</v>
      </c>
      <c r="S2" s="3">
        <v>1</v>
      </c>
      <c r="T2" s="4">
        <f t="shared" ref="T2:T19" si="0">SUM(J2-1,L2-1,N2-1,P2-1,R2-1)</f>
        <v>15</v>
      </c>
      <c r="U2" s="4">
        <f t="shared" ref="U2:U19" si="1">T2</f>
        <v>15</v>
      </c>
      <c r="V2" s="4">
        <f t="shared" ref="V2:V19" si="2">SUM(5-K2,5-M2,5-O2,5-Q2,5-S2)</f>
        <v>18</v>
      </c>
      <c r="W2" s="4">
        <f t="shared" ref="W2:W19" si="3">V2</f>
        <v>18</v>
      </c>
      <c r="X2" s="4">
        <f t="shared" ref="X2:X19" si="4">SUM(U2,W2)</f>
        <v>33</v>
      </c>
      <c r="Y2" s="4">
        <f t="shared" ref="Y2:Y19" si="5">X2*2.5</f>
        <v>82.5</v>
      </c>
    </row>
    <row r="3" spans="1:25" x14ac:dyDescent="0.25">
      <c r="A3">
        <v>3</v>
      </c>
      <c r="B3" s="1">
        <v>46219.598402777781</v>
      </c>
      <c r="C3" s="1">
        <v>46219.601493055554</v>
      </c>
      <c r="D3" t="s">
        <v>39</v>
      </c>
      <c r="F3" s="1"/>
      <c r="G3" s="2" t="s">
        <v>41</v>
      </c>
      <c r="H3" s="3">
        <v>1</v>
      </c>
      <c r="I3" s="3">
        <v>1</v>
      </c>
      <c r="J3" s="2" t="s">
        <v>41</v>
      </c>
      <c r="K3" s="2" t="s">
        <v>42</v>
      </c>
      <c r="L3" s="3">
        <v>5</v>
      </c>
      <c r="M3" s="2" t="s">
        <v>40</v>
      </c>
      <c r="N3" s="2" t="s">
        <v>41</v>
      </c>
      <c r="O3" s="2" t="s">
        <v>42</v>
      </c>
      <c r="P3" s="2" t="s">
        <v>41</v>
      </c>
      <c r="Q3" s="3">
        <v>1</v>
      </c>
      <c r="R3" s="2" t="s">
        <v>41</v>
      </c>
      <c r="S3" s="2" t="s">
        <v>40</v>
      </c>
      <c r="T3" s="4">
        <f t="shared" si="0"/>
        <v>16</v>
      </c>
      <c r="U3" s="4">
        <f t="shared" si="1"/>
        <v>16</v>
      </c>
      <c r="V3" s="4">
        <f t="shared" si="2"/>
        <v>14</v>
      </c>
      <c r="W3" s="4">
        <f t="shared" si="3"/>
        <v>14</v>
      </c>
      <c r="X3" s="4">
        <f t="shared" si="4"/>
        <v>30</v>
      </c>
      <c r="Y3" s="4">
        <f t="shared" si="5"/>
        <v>75</v>
      </c>
    </row>
    <row r="4" spans="1:25" x14ac:dyDescent="0.25">
      <c r="A4">
        <v>4</v>
      </c>
      <c r="B4" s="1">
        <v>46219.620115740741</v>
      </c>
      <c r="C4" s="1">
        <v>46219.625497685185</v>
      </c>
      <c r="D4" t="s">
        <v>39</v>
      </c>
      <c r="F4" s="1"/>
      <c r="G4" s="3">
        <v>1</v>
      </c>
      <c r="H4" s="3">
        <v>1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2" t="s">
        <v>40</v>
      </c>
      <c r="Q4" s="3">
        <v>1</v>
      </c>
      <c r="R4" s="3">
        <v>5</v>
      </c>
      <c r="S4" s="3">
        <v>1</v>
      </c>
      <c r="T4" s="4">
        <f t="shared" si="0"/>
        <v>18</v>
      </c>
      <c r="U4" s="4">
        <f t="shared" si="1"/>
        <v>18</v>
      </c>
      <c r="V4" s="4">
        <f t="shared" si="2"/>
        <v>20</v>
      </c>
      <c r="W4" s="4">
        <f t="shared" si="3"/>
        <v>20</v>
      </c>
      <c r="X4" s="4">
        <f t="shared" si="4"/>
        <v>38</v>
      </c>
      <c r="Y4" s="4">
        <f t="shared" si="5"/>
        <v>95</v>
      </c>
    </row>
    <row r="5" spans="1:25" x14ac:dyDescent="0.25">
      <c r="A5">
        <v>5</v>
      </c>
      <c r="B5" s="1">
        <v>46219.626435185186</v>
      </c>
      <c r="C5" s="1">
        <v>46219.645798611113</v>
      </c>
      <c r="D5" t="s">
        <v>39</v>
      </c>
      <c r="F5" s="1"/>
      <c r="G5" s="3">
        <v>5</v>
      </c>
      <c r="H5" s="2" t="s">
        <v>41</v>
      </c>
      <c r="I5" s="3">
        <v>1</v>
      </c>
      <c r="J5" s="3">
        <v>5</v>
      </c>
      <c r="K5" s="3">
        <v>1</v>
      </c>
      <c r="L5" s="3">
        <v>5</v>
      </c>
      <c r="M5" s="3">
        <v>1</v>
      </c>
      <c r="N5" s="2" t="s">
        <v>41</v>
      </c>
      <c r="O5" s="3">
        <v>1</v>
      </c>
      <c r="P5" s="3">
        <v>5</v>
      </c>
      <c r="Q5" s="3">
        <v>1</v>
      </c>
      <c r="R5" s="3">
        <v>5</v>
      </c>
      <c r="S5" s="2" t="s">
        <v>40</v>
      </c>
      <c r="T5" s="4">
        <f t="shared" si="0"/>
        <v>19</v>
      </c>
      <c r="U5" s="4">
        <f t="shared" si="1"/>
        <v>19</v>
      </c>
      <c r="V5" s="4">
        <f t="shared" si="2"/>
        <v>18</v>
      </c>
      <c r="W5" s="4">
        <f t="shared" si="3"/>
        <v>18</v>
      </c>
      <c r="X5" s="4">
        <f t="shared" si="4"/>
        <v>37</v>
      </c>
      <c r="Y5" s="4">
        <f t="shared" si="5"/>
        <v>92.5</v>
      </c>
    </row>
    <row r="6" spans="1:25" x14ac:dyDescent="0.25">
      <c r="A6">
        <v>6</v>
      </c>
      <c r="B6" s="1">
        <v>46219.64947916667</v>
      </c>
      <c r="C6" s="1">
        <v>46219.659548611111</v>
      </c>
      <c r="D6" t="s">
        <v>39</v>
      </c>
      <c r="F6" s="1"/>
      <c r="G6" s="2" t="s">
        <v>40</v>
      </c>
      <c r="H6" s="2" t="s">
        <v>42</v>
      </c>
      <c r="I6" s="3">
        <v>1</v>
      </c>
      <c r="J6" s="3">
        <v>5</v>
      </c>
      <c r="K6" s="2" t="s">
        <v>42</v>
      </c>
      <c r="L6" s="2" t="s">
        <v>41</v>
      </c>
      <c r="M6" s="3">
        <v>1</v>
      </c>
      <c r="N6" s="2" t="s">
        <v>40</v>
      </c>
      <c r="O6" s="2" t="s">
        <v>42</v>
      </c>
      <c r="P6" s="2" t="s">
        <v>40</v>
      </c>
      <c r="Q6" s="2" t="s">
        <v>42</v>
      </c>
      <c r="R6" s="2" t="s">
        <v>41</v>
      </c>
      <c r="S6" s="3">
        <v>1</v>
      </c>
      <c r="T6" s="4">
        <f t="shared" si="0"/>
        <v>14</v>
      </c>
      <c r="U6" s="4">
        <f t="shared" si="1"/>
        <v>14</v>
      </c>
      <c r="V6" s="4">
        <f t="shared" si="2"/>
        <v>17</v>
      </c>
      <c r="W6" s="4">
        <f t="shared" si="3"/>
        <v>17</v>
      </c>
      <c r="X6" s="4">
        <f t="shared" si="4"/>
        <v>31</v>
      </c>
      <c r="Y6" s="4">
        <f t="shared" si="5"/>
        <v>77.5</v>
      </c>
    </row>
    <row r="7" spans="1:25" x14ac:dyDescent="0.25">
      <c r="A7">
        <v>7</v>
      </c>
      <c r="B7" s="1">
        <v>46219.660162037035</v>
      </c>
      <c r="C7" s="1">
        <v>46219.677939814814</v>
      </c>
      <c r="D7" t="s">
        <v>39</v>
      </c>
      <c r="F7" s="1"/>
      <c r="G7" s="3">
        <v>1</v>
      </c>
      <c r="H7" s="3">
        <v>1</v>
      </c>
      <c r="I7" s="3">
        <v>1</v>
      </c>
      <c r="J7" s="2" t="s">
        <v>41</v>
      </c>
      <c r="K7" s="2" t="s">
        <v>42</v>
      </c>
      <c r="L7" s="2" t="s">
        <v>40</v>
      </c>
      <c r="M7" s="2" t="s">
        <v>40</v>
      </c>
      <c r="N7" s="2" t="s">
        <v>41</v>
      </c>
      <c r="O7" s="2" t="s">
        <v>42</v>
      </c>
      <c r="P7" s="2" t="s">
        <v>40</v>
      </c>
      <c r="Q7" s="2" t="s">
        <v>42</v>
      </c>
      <c r="R7" s="2" t="s">
        <v>40</v>
      </c>
      <c r="S7" s="2" t="s">
        <v>40</v>
      </c>
      <c r="T7" s="4">
        <f t="shared" si="0"/>
        <v>12</v>
      </c>
      <c r="U7" s="4">
        <f t="shared" si="1"/>
        <v>12</v>
      </c>
      <c r="V7" s="4">
        <f t="shared" si="2"/>
        <v>13</v>
      </c>
      <c r="W7" s="4">
        <f t="shared" si="3"/>
        <v>13</v>
      </c>
      <c r="X7" s="4">
        <f t="shared" si="4"/>
        <v>25</v>
      </c>
      <c r="Y7" s="4">
        <f t="shared" si="5"/>
        <v>62.5</v>
      </c>
    </row>
    <row r="8" spans="1:25" x14ac:dyDescent="0.25">
      <c r="A8">
        <v>8</v>
      </c>
      <c r="B8" s="1">
        <v>46229.487164351849</v>
      </c>
      <c r="C8" s="1">
        <v>46229.488344907404</v>
      </c>
      <c r="D8" t="s">
        <v>39</v>
      </c>
      <c r="F8" s="1"/>
      <c r="G8" s="3">
        <v>5</v>
      </c>
      <c r="H8" s="3">
        <v>1</v>
      </c>
      <c r="I8" s="3">
        <v>1</v>
      </c>
      <c r="J8" s="2" t="s">
        <v>41</v>
      </c>
      <c r="K8" s="2" t="s">
        <v>42</v>
      </c>
      <c r="L8" s="2" t="s">
        <v>41</v>
      </c>
      <c r="M8" s="3">
        <v>1</v>
      </c>
      <c r="N8" s="2" t="s">
        <v>40</v>
      </c>
      <c r="O8" s="2" t="s">
        <v>42</v>
      </c>
      <c r="P8" s="2" t="s">
        <v>41</v>
      </c>
      <c r="Q8" s="3">
        <v>1</v>
      </c>
      <c r="R8" s="2" t="s">
        <v>41</v>
      </c>
      <c r="S8" s="3">
        <v>1</v>
      </c>
      <c r="T8" s="4">
        <f t="shared" si="0"/>
        <v>14</v>
      </c>
      <c r="U8" s="4">
        <f t="shared" si="1"/>
        <v>14</v>
      </c>
      <c r="V8" s="4">
        <f t="shared" si="2"/>
        <v>18</v>
      </c>
      <c r="W8" s="4">
        <f t="shared" si="3"/>
        <v>18</v>
      </c>
      <c r="X8" s="4">
        <f t="shared" si="4"/>
        <v>32</v>
      </c>
      <c r="Y8" s="4">
        <f t="shared" si="5"/>
        <v>80</v>
      </c>
    </row>
    <row r="9" spans="1:25" x14ac:dyDescent="0.25">
      <c r="A9">
        <v>9</v>
      </c>
      <c r="B9" s="1">
        <v>46233.579699074071</v>
      </c>
      <c r="C9" s="1">
        <v>46233.58184027778</v>
      </c>
      <c r="D9" t="s">
        <v>39</v>
      </c>
      <c r="F9" s="1"/>
      <c r="G9" s="2" t="s">
        <v>42</v>
      </c>
      <c r="H9" s="3">
        <v>1</v>
      </c>
      <c r="I9" s="3">
        <v>1</v>
      </c>
      <c r="J9" s="2" t="s">
        <v>41</v>
      </c>
      <c r="K9" s="3">
        <v>1</v>
      </c>
      <c r="L9" s="3">
        <v>5</v>
      </c>
      <c r="M9" s="3">
        <v>1</v>
      </c>
      <c r="N9" s="2" t="s">
        <v>41</v>
      </c>
      <c r="O9" s="3">
        <v>1</v>
      </c>
      <c r="P9" s="2" t="s">
        <v>41</v>
      </c>
      <c r="Q9" s="3">
        <v>1</v>
      </c>
      <c r="R9" s="2" t="s">
        <v>41</v>
      </c>
      <c r="S9" s="3">
        <v>1</v>
      </c>
      <c r="T9" s="4">
        <f t="shared" si="0"/>
        <v>16</v>
      </c>
      <c r="U9" s="4">
        <f t="shared" si="1"/>
        <v>16</v>
      </c>
      <c r="V9" s="4">
        <f t="shared" si="2"/>
        <v>20</v>
      </c>
      <c r="W9" s="4">
        <f t="shared" si="3"/>
        <v>20</v>
      </c>
      <c r="X9" s="4">
        <f t="shared" si="4"/>
        <v>36</v>
      </c>
      <c r="Y9" s="4">
        <f t="shared" si="5"/>
        <v>90</v>
      </c>
    </row>
    <row r="10" spans="1:25" x14ac:dyDescent="0.25">
      <c r="A10">
        <v>10</v>
      </c>
      <c r="B10" s="1">
        <v>46233.593356481484</v>
      </c>
      <c r="C10" s="1">
        <v>46233.59547453704</v>
      </c>
      <c r="D10" t="s">
        <v>39</v>
      </c>
      <c r="F10" s="1"/>
      <c r="G10" s="2" t="s">
        <v>42</v>
      </c>
      <c r="H10" s="3">
        <v>1</v>
      </c>
      <c r="I10" s="2" t="s">
        <v>42</v>
      </c>
      <c r="J10" s="2" t="s">
        <v>40</v>
      </c>
      <c r="K10" s="3">
        <v>1</v>
      </c>
      <c r="L10" s="2" t="s">
        <v>41</v>
      </c>
      <c r="M10" s="2" t="s">
        <v>41</v>
      </c>
      <c r="N10" s="2" t="s">
        <v>41</v>
      </c>
      <c r="O10" s="2" t="s">
        <v>42</v>
      </c>
      <c r="P10" s="2" t="s">
        <v>40</v>
      </c>
      <c r="Q10" s="3">
        <v>1</v>
      </c>
      <c r="R10" s="2" t="s">
        <v>40</v>
      </c>
      <c r="S10" s="2" t="s">
        <v>41</v>
      </c>
      <c r="T10" s="4">
        <f t="shared" si="0"/>
        <v>12</v>
      </c>
      <c r="U10" s="4">
        <f t="shared" si="1"/>
        <v>12</v>
      </c>
      <c r="V10" s="4">
        <f t="shared" si="2"/>
        <v>13</v>
      </c>
      <c r="W10" s="4">
        <f t="shared" si="3"/>
        <v>13</v>
      </c>
      <c r="X10" s="4">
        <f t="shared" si="4"/>
        <v>25</v>
      </c>
      <c r="Y10" s="4">
        <f t="shared" si="5"/>
        <v>62.5</v>
      </c>
    </row>
    <row r="11" spans="1:25" x14ac:dyDescent="0.25">
      <c r="A11">
        <v>11</v>
      </c>
      <c r="B11" s="1">
        <v>46233.60765046296</v>
      </c>
      <c r="C11" s="1">
        <v>46233.610775462963</v>
      </c>
      <c r="D11" t="s">
        <v>39</v>
      </c>
      <c r="F11" s="1"/>
      <c r="G11" s="2" t="s">
        <v>42</v>
      </c>
      <c r="H11" s="3">
        <v>1</v>
      </c>
      <c r="I11" s="3">
        <v>1</v>
      </c>
      <c r="J11" s="2" t="s">
        <v>41</v>
      </c>
      <c r="K11" s="2" t="s">
        <v>40</v>
      </c>
      <c r="L11" s="2" t="s">
        <v>42</v>
      </c>
      <c r="M11" s="2" t="s">
        <v>41</v>
      </c>
      <c r="N11" s="2" t="s">
        <v>42</v>
      </c>
      <c r="O11" s="2" t="s">
        <v>40</v>
      </c>
      <c r="P11" s="3">
        <v>1</v>
      </c>
      <c r="Q11" s="3">
        <v>5</v>
      </c>
      <c r="R11" s="2" t="s">
        <v>42</v>
      </c>
      <c r="S11" s="3">
        <v>5</v>
      </c>
      <c r="T11" s="4">
        <f t="shared" si="0"/>
        <v>6</v>
      </c>
      <c r="U11" s="4">
        <f t="shared" si="1"/>
        <v>6</v>
      </c>
      <c r="V11" s="4">
        <f t="shared" si="2"/>
        <v>5</v>
      </c>
      <c r="W11" s="4">
        <f t="shared" si="3"/>
        <v>5</v>
      </c>
      <c r="X11" s="4">
        <f t="shared" si="4"/>
        <v>11</v>
      </c>
      <c r="Y11" s="4">
        <f t="shared" si="5"/>
        <v>27.5</v>
      </c>
    </row>
    <row r="12" spans="1:25" x14ac:dyDescent="0.25">
      <c r="A12">
        <v>12</v>
      </c>
      <c r="B12" s="1">
        <v>46233.625034722223</v>
      </c>
      <c r="C12" s="1">
        <v>46233.630439814813</v>
      </c>
      <c r="D12" t="s">
        <v>39</v>
      </c>
      <c r="F12" s="1"/>
      <c r="G12" s="3">
        <v>1</v>
      </c>
      <c r="H12" s="3">
        <v>1</v>
      </c>
      <c r="I12" s="2" t="s">
        <v>42</v>
      </c>
      <c r="J12" s="2" t="s">
        <v>41</v>
      </c>
      <c r="K12" s="2" t="s">
        <v>42</v>
      </c>
      <c r="L12" s="2" t="s">
        <v>41</v>
      </c>
      <c r="M12" s="2" t="s">
        <v>41</v>
      </c>
      <c r="N12" s="2" t="s">
        <v>41</v>
      </c>
      <c r="O12" s="2" t="s">
        <v>42</v>
      </c>
      <c r="P12" s="2" t="s">
        <v>41</v>
      </c>
      <c r="Q12" s="2" t="s">
        <v>42</v>
      </c>
      <c r="R12" s="2" t="s">
        <v>40</v>
      </c>
      <c r="S12" s="2" t="s">
        <v>40</v>
      </c>
      <c r="T12" s="4">
        <f t="shared" si="0"/>
        <v>14</v>
      </c>
      <c r="U12" s="4">
        <f t="shared" si="1"/>
        <v>14</v>
      </c>
      <c r="V12" s="4">
        <f t="shared" si="2"/>
        <v>12</v>
      </c>
      <c r="W12" s="4">
        <f t="shared" si="3"/>
        <v>12</v>
      </c>
      <c r="X12" s="4">
        <f t="shared" si="4"/>
        <v>26</v>
      </c>
      <c r="Y12" s="4">
        <f t="shared" si="5"/>
        <v>65</v>
      </c>
    </row>
    <row r="13" spans="1:25" x14ac:dyDescent="0.25">
      <c r="A13">
        <v>13</v>
      </c>
      <c r="B13" s="1">
        <v>46233.642847222225</v>
      </c>
      <c r="C13" s="1">
        <v>46233.648206018515</v>
      </c>
      <c r="D13" t="s">
        <v>39</v>
      </c>
      <c r="F13" s="1"/>
      <c r="G13" s="2" t="s">
        <v>42</v>
      </c>
      <c r="H13" s="3">
        <v>1</v>
      </c>
      <c r="I13" s="2" t="s">
        <v>41</v>
      </c>
      <c r="J13" s="2" t="s">
        <v>41</v>
      </c>
      <c r="K13" s="2" t="s">
        <v>42</v>
      </c>
      <c r="L13" s="3">
        <v>5</v>
      </c>
      <c r="M13" s="3">
        <v>1</v>
      </c>
      <c r="N13" s="2" t="s">
        <v>40</v>
      </c>
      <c r="O13" s="2" t="s">
        <v>42</v>
      </c>
      <c r="P13" s="2" t="s">
        <v>40</v>
      </c>
      <c r="Q13" s="2" t="s">
        <v>42</v>
      </c>
      <c r="R13" s="2" t="s">
        <v>41</v>
      </c>
      <c r="S13" s="3">
        <v>1</v>
      </c>
      <c r="T13" s="4">
        <f t="shared" si="0"/>
        <v>14</v>
      </c>
      <c r="U13" s="4">
        <f t="shared" si="1"/>
        <v>14</v>
      </c>
      <c r="V13" s="4">
        <f t="shared" si="2"/>
        <v>17</v>
      </c>
      <c r="W13" s="4">
        <f t="shared" si="3"/>
        <v>17</v>
      </c>
      <c r="X13" s="4">
        <f t="shared" si="4"/>
        <v>31</v>
      </c>
      <c r="Y13" s="4">
        <f t="shared" si="5"/>
        <v>77.5</v>
      </c>
    </row>
    <row r="14" spans="1:25" x14ac:dyDescent="0.25">
      <c r="A14">
        <v>14</v>
      </c>
      <c r="B14" s="1">
        <v>46233.659247685187</v>
      </c>
      <c r="C14" s="1">
        <v>46233.662164351852</v>
      </c>
      <c r="D14" t="s">
        <v>39</v>
      </c>
      <c r="F14" s="1"/>
      <c r="G14" s="2" t="s">
        <v>40</v>
      </c>
      <c r="H14" s="3">
        <v>1</v>
      </c>
      <c r="I14" s="2" t="s">
        <v>42</v>
      </c>
      <c r="J14" s="2" t="s">
        <v>40</v>
      </c>
      <c r="K14" s="2" t="s">
        <v>42</v>
      </c>
      <c r="L14" s="2" t="s">
        <v>41</v>
      </c>
      <c r="M14" s="2" t="s">
        <v>42</v>
      </c>
      <c r="N14" s="2" t="s">
        <v>40</v>
      </c>
      <c r="O14" s="2" t="s">
        <v>42</v>
      </c>
      <c r="P14" s="2" t="s">
        <v>41</v>
      </c>
      <c r="Q14" s="2" t="s">
        <v>42</v>
      </c>
      <c r="R14" s="2" t="s">
        <v>41</v>
      </c>
      <c r="S14" s="2" t="s">
        <v>42</v>
      </c>
      <c r="T14" s="4">
        <f t="shared" si="0"/>
        <v>13</v>
      </c>
      <c r="U14" s="4">
        <f t="shared" si="1"/>
        <v>13</v>
      </c>
      <c r="V14" s="4">
        <f t="shared" si="2"/>
        <v>15</v>
      </c>
      <c r="W14" s="4">
        <f t="shared" si="3"/>
        <v>15</v>
      </c>
      <c r="X14" s="4">
        <f t="shared" si="4"/>
        <v>28</v>
      </c>
      <c r="Y14" s="4">
        <f t="shared" si="5"/>
        <v>70</v>
      </c>
    </row>
    <row r="15" spans="1:25" x14ac:dyDescent="0.25">
      <c r="A15">
        <v>15</v>
      </c>
      <c r="B15" s="1">
        <v>46233.676921296297</v>
      </c>
      <c r="C15" s="1">
        <v>46233.679583333331</v>
      </c>
      <c r="D15" t="s">
        <v>39</v>
      </c>
      <c r="F15" s="1"/>
      <c r="G15" s="3">
        <v>1</v>
      </c>
      <c r="H15" s="3">
        <v>1</v>
      </c>
      <c r="I15" s="3">
        <v>5</v>
      </c>
      <c r="J15" s="2" t="s">
        <v>41</v>
      </c>
      <c r="K15" s="3">
        <v>1</v>
      </c>
      <c r="L15" s="3">
        <v>5</v>
      </c>
      <c r="M15" s="3">
        <v>1</v>
      </c>
      <c r="N15" s="2" t="s">
        <v>41</v>
      </c>
      <c r="O15" s="3">
        <v>1</v>
      </c>
      <c r="P15" s="2" t="s">
        <v>41</v>
      </c>
      <c r="Q15" s="3">
        <v>1</v>
      </c>
      <c r="R15" s="3">
        <v>5</v>
      </c>
      <c r="S15" s="3">
        <v>1</v>
      </c>
      <c r="T15" s="4">
        <f t="shared" si="0"/>
        <v>17</v>
      </c>
      <c r="U15" s="4">
        <f t="shared" si="1"/>
        <v>17</v>
      </c>
      <c r="V15" s="4">
        <f t="shared" si="2"/>
        <v>20</v>
      </c>
      <c r="W15" s="4">
        <f t="shared" si="3"/>
        <v>20</v>
      </c>
      <c r="X15" s="4">
        <f t="shared" si="4"/>
        <v>37</v>
      </c>
      <c r="Y15" s="4">
        <f t="shared" si="5"/>
        <v>92.5</v>
      </c>
    </row>
    <row r="16" spans="1:25" x14ac:dyDescent="0.25">
      <c r="A16">
        <v>16</v>
      </c>
      <c r="B16" s="1">
        <v>46233.694131944445</v>
      </c>
      <c r="C16" s="1">
        <v>46233.706712962965</v>
      </c>
      <c r="D16" t="s">
        <v>39</v>
      </c>
      <c r="F16" s="1"/>
      <c r="G16" s="3">
        <v>1</v>
      </c>
      <c r="H16" s="3">
        <v>1</v>
      </c>
      <c r="I16" s="2" t="s">
        <v>42</v>
      </c>
      <c r="J16" s="3">
        <v>5</v>
      </c>
      <c r="K16" s="3">
        <v>1</v>
      </c>
      <c r="L16" s="3">
        <v>5</v>
      </c>
      <c r="M16" s="3">
        <v>1</v>
      </c>
      <c r="N16" s="2" t="s">
        <v>41</v>
      </c>
      <c r="O16" s="3">
        <v>1</v>
      </c>
      <c r="P16" s="2" t="s">
        <v>41</v>
      </c>
      <c r="Q16" s="2" t="s">
        <v>42</v>
      </c>
      <c r="R16" s="3">
        <v>5</v>
      </c>
      <c r="S16" s="3">
        <v>1</v>
      </c>
      <c r="T16" s="4">
        <f t="shared" si="0"/>
        <v>18</v>
      </c>
      <c r="U16" s="4">
        <f t="shared" si="1"/>
        <v>18</v>
      </c>
      <c r="V16" s="4">
        <f t="shared" si="2"/>
        <v>19</v>
      </c>
      <c r="W16" s="4">
        <f t="shared" si="3"/>
        <v>19</v>
      </c>
      <c r="X16" s="4">
        <f t="shared" si="4"/>
        <v>37</v>
      </c>
      <c r="Y16" s="4">
        <f t="shared" si="5"/>
        <v>92.5</v>
      </c>
    </row>
    <row r="17" spans="1:25" x14ac:dyDescent="0.25">
      <c r="A17">
        <v>17</v>
      </c>
      <c r="B17" s="1">
        <v>46233.716504629629</v>
      </c>
      <c r="C17" s="1">
        <v>46233.72152777778</v>
      </c>
      <c r="D17" t="s">
        <v>39</v>
      </c>
      <c r="F17" s="1"/>
      <c r="G17" s="2" t="s">
        <v>41</v>
      </c>
      <c r="H17" s="3">
        <v>1</v>
      </c>
      <c r="I17" s="2" t="s">
        <v>40</v>
      </c>
      <c r="J17" s="3">
        <v>5</v>
      </c>
      <c r="K17" s="3">
        <v>1</v>
      </c>
      <c r="L17" s="2" t="s">
        <v>41</v>
      </c>
      <c r="M17" s="2" t="s">
        <v>40</v>
      </c>
      <c r="N17" s="2" t="s">
        <v>41</v>
      </c>
      <c r="O17" s="3">
        <v>1</v>
      </c>
      <c r="P17" s="2" t="s">
        <v>41</v>
      </c>
      <c r="Q17" s="3">
        <v>1</v>
      </c>
      <c r="R17" s="3">
        <v>5</v>
      </c>
      <c r="S17" s="2" t="s">
        <v>42</v>
      </c>
      <c r="T17" s="4">
        <f t="shared" si="0"/>
        <v>17</v>
      </c>
      <c r="U17" s="4">
        <f t="shared" si="1"/>
        <v>17</v>
      </c>
      <c r="V17" s="4">
        <f t="shared" si="2"/>
        <v>17</v>
      </c>
      <c r="W17" s="4">
        <f t="shared" si="3"/>
        <v>17</v>
      </c>
      <c r="X17" s="4">
        <f t="shared" si="4"/>
        <v>34</v>
      </c>
      <c r="Y17" s="4">
        <f t="shared" si="5"/>
        <v>85</v>
      </c>
    </row>
    <row r="18" spans="1:25" x14ac:dyDescent="0.25">
      <c r="A18">
        <v>18</v>
      </c>
      <c r="B18" s="1">
        <v>46233.736562500002</v>
      </c>
      <c r="C18" s="1">
        <v>46233.742129629631</v>
      </c>
      <c r="D18" t="s">
        <v>39</v>
      </c>
      <c r="F18" s="1"/>
      <c r="G18" s="2" t="s">
        <v>42</v>
      </c>
      <c r="H18" s="3">
        <v>1</v>
      </c>
      <c r="I18" s="3">
        <v>1</v>
      </c>
      <c r="J18" s="2" t="s">
        <v>41</v>
      </c>
      <c r="K18" s="2" t="s">
        <v>42</v>
      </c>
      <c r="L18" s="2" t="s">
        <v>41</v>
      </c>
      <c r="M18" s="3">
        <v>1</v>
      </c>
      <c r="N18" s="2" t="s">
        <v>42</v>
      </c>
      <c r="O18" s="3">
        <v>1</v>
      </c>
      <c r="P18" s="2" t="s">
        <v>40</v>
      </c>
      <c r="Q18" s="3">
        <v>1</v>
      </c>
      <c r="R18" s="2" t="s">
        <v>41</v>
      </c>
      <c r="S18" s="3">
        <v>1</v>
      </c>
      <c r="T18" s="4">
        <f t="shared" si="0"/>
        <v>12</v>
      </c>
      <c r="U18" s="4">
        <f t="shared" si="1"/>
        <v>12</v>
      </c>
      <c r="V18" s="4">
        <f t="shared" si="2"/>
        <v>19</v>
      </c>
      <c r="W18" s="4">
        <f t="shared" si="3"/>
        <v>19</v>
      </c>
      <c r="X18" s="4">
        <f t="shared" si="4"/>
        <v>31</v>
      </c>
      <c r="Y18" s="4">
        <f t="shared" si="5"/>
        <v>77.5</v>
      </c>
    </row>
    <row r="19" spans="1:25" x14ac:dyDescent="0.25">
      <c r="A19">
        <v>19</v>
      </c>
      <c r="B19" s="1">
        <v>46233.755497685182</v>
      </c>
      <c r="C19" s="1">
        <v>46233.760393518518</v>
      </c>
      <c r="D19" t="s">
        <v>39</v>
      </c>
      <c r="F19" s="1"/>
      <c r="G19" s="3">
        <v>1</v>
      </c>
      <c r="H19" s="3">
        <v>1</v>
      </c>
      <c r="I19" s="3">
        <v>5</v>
      </c>
      <c r="J19" s="2" t="s">
        <v>42</v>
      </c>
      <c r="K19" s="2" t="s">
        <v>42</v>
      </c>
      <c r="L19" s="2" t="s">
        <v>40</v>
      </c>
      <c r="M19" s="3">
        <v>1</v>
      </c>
      <c r="N19" s="2" t="s">
        <v>41</v>
      </c>
      <c r="O19" s="2" t="s">
        <v>42</v>
      </c>
      <c r="P19" s="2" t="s">
        <v>40</v>
      </c>
      <c r="Q19" s="3">
        <v>1</v>
      </c>
      <c r="R19" s="2" t="s">
        <v>41</v>
      </c>
      <c r="S19" s="2" t="s">
        <v>42</v>
      </c>
      <c r="T19" s="4">
        <f t="shared" si="0"/>
        <v>11</v>
      </c>
      <c r="U19" s="4">
        <f t="shared" si="1"/>
        <v>11</v>
      </c>
      <c r="V19" s="4">
        <f t="shared" si="2"/>
        <v>17</v>
      </c>
      <c r="W19" s="4">
        <f t="shared" si="3"/>
        <v>17</v>
      </c>
      <c r="X19" s="4">
        <f t="shared" si="4"/>
        <v>28</v>
      </c>
      <c r="Y19" s="4">
        <f t="shared" si="5"/>
        <v>70</v>
      </c>
    </row>
    <row r="20" spans="1:25" x14ac:dyDescent="0.2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25" x14ac:dyDescent="0.25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5" x14ac:dyDescent="0.2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25" x14ac:dyDescent="0.2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5" x14ac:dyDescent="0.2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5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5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5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5" x14ac:dyDescent="0.2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5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5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5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5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7:26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7:26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7:26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7:26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7:26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7:26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7:26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7:26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5" spans="7:26" x14ac:dyDescent="0.25">
      <c r="X45" s="5"/>
      <c r="Y45" s="5"/>
      <c r="Z45" s="5"/>
    </row>
    <row r="46" spans="7:26" x14ac:dyDescent="0.25">
      <c r="X46" s="5"/>
      <c r="Y46" s="5">
        <f>AVERAGE(Y2:Y45)</f>
        <v>76.388888888888886</v>
      </c>
      <c r="Z46" s="5"/>
    </row>
    <row r="47" spans="7:26" x14ac:dyDescent="0.25">
      <c r="X47" s="5"/>
      <c r="Y47" s="5"/>
      <c r="Z4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F412-A594-49D2-8EE8-B68620490537}">
  <dimension ref="A1:Z47"/>
  <sheetViews>
    <sheetView topLeftCell="M1" workbookViewId="0">
      <selection activeCell="B27" sqref="B27"/>
    </sheetView>
  </sheetViews>
  <sheetFormatPr baseColWidth="10" defaultColWidth="9.140625" defaultRowHeight="15" x14ac:dyDescent="0.25"/>
  <cols>
    <col min="1" max="19" width="20" bestFit="1" customWidth="1"/>
    <col min="20" max="20" width="19.42578125" bestFit="1" customWidth="1"/>
    <col min="21" max="21" width="13.7109375" bestFit="1" customWidth="1"/>
    <col min="22" max="22" width="20.42578125" bestFit="1" customWidth="1"/>
    <col min="23" max="23" width="15.5703125" bestFit="1" customWidth="1"/>
    <col min="24" max="24" width="7.7109375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</row>
    <row r="2" spans="1:25" x14ac:dyDescent="0.25">
      <c r="A2">
        <v>2</v>
      </c>
      <c r="B2" s="1">
        <v>46219.572534722225</v>
      </c>
      <c r="C2" s="1">
        <v>46219.577465277776</v>
      </c>
      <c r="D2" t="s">
        <v>39</v>
      </c>
      <c r="F2" s="1"/>
      <c r="G2" s="2" t="s">
        <v>40</v>
      </c>
      <c r="H2" s="3">
        <v>1</v>
      </c>
      <c r="I2" s="2" t="s">
        <v>41</v>
      </c>
      <c r="J2" s="2" t="s">
        <v>41</v>
      </c>
      <c r="K2" s="2" t="s">
        <v>42</v>
      </c>
      <c r="L2" s="2" t="s">
        <v>41</v>
      </c>
      <c r="M2" s="3">
        <v>1</v>
      </c>
      <c r="N2" s="2" t="s">
        <v>40</v>
      </c>
      <c r="O2" s="2" t="s">
        <v>40</v>
      </c>
      <c r="P2" s="3">
        <v>5</v>
      </c>
      <c r="Q2" s="2" t="s">
        <v>41</v>
      </c>
      <c r="R2" s="2" t="s">
        <v>40</v>
      </c>
      <c r="S2" s="3">
        <v>1</v>
      </c>
      <c r="T2" s="4">
        <f t="shared" ref="T2:T19" si="0">SUM(J2-1,L2-1,N2-1,P2-1,R2-1)</f>
        <v>14</v>
      </c>
      <c r="U2" s="4">
        <f t="shared" ref="U2:U19" si="1">T2</f>
        <v>14</v>
      </c>
      <c r="V2" s="4">
        <f t="shared" ref="V2:V19" si="2">SUM(5-K2,5-M2,5-O2,5-Q2,5-S2)</f>
        <v>14</v>
      </c>
      <c r="W2" s="4">
        <f t="shared" ref="W2:W19" si="3">V2</f>
        <v>14</v>
      </c>
      <c r="X2" s="4">
        <f t="shared" ref="X2:X19" si="4">SUM(U2,W2)</f>
        <v>28</v>
      </c>
      <c r="Y2" s="4">
        <f t="shared" ref="Y2:Y19" si="5">X2*2.5</f>
        <v>70</v>
      </c>
    </row>
    <row r="3" spans="1:25" x14ac:dyDescent="0.25">
      <c r="A3">
        <v>3</v>
      </c>
      <c r="B3" s="1">
        <v>46219.598402777781</v>
      </c>
      <c r="C3" s="1">
        <v>46219.601493055554</v>
      </c>
      <c r="D3" t="s">
        <v>39</v>
      </c>
      <c r="F3" s="1"/>
      <c r="G3" s="2" t="s">
        <v>41</v>
      </c>
      <c r="H3" s="3">
        <v>1</v>
      </c>
      <c r="I3" s="3">
        <v>1</v>
      </c>
      <c r="J3" s="2" t="s">
        <v>40</v>
      </c>
      <c r="K3" s="2" t="s">
        <v>40</v>
      </c>
      <c r="L3" s="2" t="s">
        <v>41</v>
      </c>
      <c r="M3" s="2" t="s">
        <v>41</v>
      </c>
      <c r="N3" s="2" t="s">
        <v>41</v>
      </c>
      <c r="O3" s="2" t="s">
        <v>40</v>
      </c>
      <c r="P3" s="2" t="s">
        <v>41</v>
      </c>
      <c r="Q3" s="2" t="s">
        <v>42</v>
      </c>
      <c r="R3" s="2" t="s">
        <v>41</v>
      </c>
      <c r="S3" s="2" t="s">
        <v>40</v>
      </c>
      <c r="T3" s="4">
        <f t="shared" si="0"/>
        <v>14</v>
      </c>
      <c r="U3" s="4">
        <f t="shared" si="1"/>
        <v>14</v>
      </c>
      <c r="V3" s="4">
        <f t="shared" si="2"/>
        <v>10</v>
      </c>
      <c r="W3" s="4">
        <f t="shared" si="3"/>
        <v>10</v>
      </c>
      <c r="X3" s="4">
        <f t="shared" si="4"/>
        <v>24</v>
      </c>
      <c r="Y3" s="4">
        <f t="shared" si="5"/>
        <v>60</v>
      </c>
    </row>
    <row r="4" spans="1:25" x14ac:dyDescent="0.25">
      <c r="A4">
        <v>4</v>
      </c>
      <c r="B4" s="1">
        <v>46219.620115740741</v>
      </c>
      <c r="C4" s="1">
        <v>46219.625497685185</v>
      </c>
      <c r="D4" t="s">
        <v>39</v>
      </c>
      <c r="F4" s="1"/>
      <c r="G4" s="3">
        <v>1</v>
      </c>
      <c r="H4" s="3">
        <v>1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2" t="s">
        <v>40</v>
      </c>
      <c r="Q4" s="3">
        <v>1</v>
      </c>
      <c r="R4" s="3">
        <v>5</v>
      </c>
      <c r="S4" s="3">
        <v>1</v>
      </c>
      <c r="T4" s="4">
        <f t="shared" si="0"/>
        <v>18</v>
      </c>
      <c r="U4" s="4">
        <f t="shared" si="1"/>
        <v>18</v>
      </c>
      <c r="V4" s="4">
        <f t="shared" si="2"/>
        <v>20</v>
      </c>
      <c r="W4" s="4">
        <f t="shared" si="3"/>
        <v>20</v>
      </c>
      <c r="X4" s="4">
        <f t="shared" si="4"/>
        <v>38</v>
      </c>
      <c r="Y4" s="4">
        <f t="shared" si="5"/>
        <v>95</v>
      </c>
    </row>
    <row r="5" spans="1:25" x14ac:dyDescent="0.25">
      <c r="A5">
        <v>5</v>
      </c>
      <c r="B5" s="1">
        <v>46219.626435185186</v>
      </c>
      <c r="C5" s="1">
        <v>46219.645798611113</v>
      </c>
      <c r="D5" t="s">
        <v>39</v>
      </c>
      <c r="F5" s="1"/>
      <c r="G5" s="3">
        <v>5</v>
      </c>
      <c r="H5" s="2" t="s">
        <v>41</v>
      </c>
      <c r="I5" s="3">
        <v>1</v>
      </c>
      <c r="J5" s="3">
        <v>5</v>
      </c>
      <c r="K5" s="2" t="s">
        <v>42</v>
      </c>
      <c r="L5" s="2" t="s">
        <v>41</v>
      </c>
      <c r="M5" s="2" t="s">
        <v>42</v>
      </c>
      <c r="N5" s="2" t="s">
        <v>40</v>
      </c>
      <c r="O5" s="3">
        <v>1</v>
      </c>
      <c r="P5" s="2" t="s">
        <v>41</v>
      </c>
      <c r="Q5" s="2" t="s">
        <v>42</v>
      </c>
      <c r="R5" s="2" t="s">
        <v>41</v>
      </c>
      <c r="S5" s="2" t="s">
        <v>40</v>
      </c>
      <c r="T5" s="4">
        <f t="shared" si="0"/>
        <v>15</v>
      </c>
      <c r="U5" s="4">
        <f t="shared" si="1"/>
        <v>15</v>
      </c>
      <c r="V5" s="4">
        <f t="shared" si="2"/>
        <v>15</v>
      </c>
      <c r="W5" s="4">
        <f t="shared" si="3"/>
        <v>15</v>
      </c>
      <c r="X5" s="4">
        <f t="shared" si="4"/>
        <v>30</v>
      </c>
      <c r="Y5" s="4">
        <f t="shared" si="5"/>
        <v>75</v>
      </c>
    </row>
    <row r="6" spans="1:25" x14ac:dyDescent="0.25">
      <c r="A6">
        <v>6</v>
      </c>
      <c r="B6" s="1">
        <v>46219.64947916667</v>
      </c>
      <c r="C6" s="1">
        <v>46219.659548611111</v>
      </c>
      <c r="D6" t="s">
        <v>39</v>
      </c>
      <c r="F6" s="1"/>
      <c r="G6" s="2" t="s">
        <v>40</v>
      </c>
      <c r="H6" s="2" t="s">
        <v>42</v>
      </c>
      <c r="I6" s="3">
        <v>1</v>
      </c>
      <c r="J6" s="2" t="s">
        <v>41</v>
      </c>
      <c r="K6" s="2" t="s">
        <v>40</v>
      </c>
      <c r="L6" s="2" t="s">
        <v>40</v>
      </c>
      <c r="M6" s="2" t="s">
        <v>41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42</v>
      </c>
      <c r="S6" s="2" t="s">
        <v>41</v>
      </c>
      <c r="T6" s="4">
        <f t="shared" si="0"/>
        <v>10</v>
      </c>
      <c r="U6" s="4">
        <f t="shared" si="1"/>
        <v>10</v>
      </c>
      <c r="V6" s="4">
        <f t="shared" si="2"/>
        <v>8</v>
      </c>
      <c r="W6" s="4">
        <f t="shared" si="3"/>
        <v>8</v>
      </c>
      <c r="X6" s="4">
        <f t="shared" si="4"/>
        <v>18</v>
      </c>
      <c r="Y6" s="4">
        <f t="shared" si="5"/>
        <v>45</v>
      </c>
    </row>
    <row r="7" spans="1:25" x14ac:dyDescent="0.25">
      <c r="A7">
        <v>7</v>
      </c>
      <c r="B7" s="1">
        <v>46219.660162037035</v>
      </c>
      <c r="C7" s="1">
        <v>46219.677939814814</v>
      </c>
      <c r="D7" t="s">
        <v>39</v>
      </c>
      <c r="F7" s="1"/>
      <c r="G7" s="3">
        <v>1</v>
      </c>
      <c r="H7" s="3">
        <v>1</v>
      </c>
      <c r="I7" s="3">
        <v>1</v>
      </c>
      <c r="J7" s="2" t="s">
        <v>42</v>
      </c>
      <c r="K7" s="3">
        <v>5</v>
      </c>
      <c r="L7" s="2" t="s">
        <v>42</v>
      </c>
      <c r="M7" s="3">
        <v>5</v>
      </c>
      <c r="N7" s="2" t="s">
        <v>40</v>
      </c>
      <c r="O7" s="2" t="s">
        <v>41</v>
      </c>
      <c r="P7" s="3">
        <v>1</v>
      </c>
      <c r="Q7" s="3">
        <v>5</v>
      </c>
      <c r="R7" s="2" t="s">
        <v>42</v>
      </c>
      <c r="S7" s="3">
        <v>5</v>
      </c>
      <c r="T7" s="4">
        <f t="shared" si="0"/>
        <v>5</v>
      </c>
      <c r="U7" s="4">
        <f t="shared" si="1"/>
        <v>5</v>
      </c>
      <c r="V7" s="4">
        <f t="shared" si="2"/>
        <v>1</v>
      </c>
      <c r="W7" s="4">
        <f t="shared" si="3"/>
        <v>1</v>
      </c>
      <c r="X7" s="4">
        <f t="shared" si="4"/>
        <v>6</v>
      </c>
      <c r="Y7" s="4">
        <f t="shared" si="5"/>
        <v>15</v>
      </c>
    </row>
    <row r="8" spans="1:25" x14ac:dyDescent="0.25">
      <c r="A8">
        <v>8</v>
      </c>
      <c r="B8" s="1">
        <v>46229.487164351849</v>
      </c>
      <c r="C8" s="1">
        <v>46229.488344907404</v>
      </c>
      <c r="D8" t="s">
        <v>39</v>
      </c>
      <c r="F8" s="1"/>
      <c r="G8" s="3">
        <v>5</v>
      </c>
      <c r="H8" s="3">
        <v>1</v>
      </c>
      <c r="I8" s="3">
        <v>1</v>
      </c>
      <c r="J8" s="2" t="s">
        <v>41</v>
      </c>
      <c r="K8" s="2" t="s">
        <v>42</v>
      </c>
      <c r="L8" s="2" t="s">
        <v>41</v>
      </c>
      <c r="M8" s="2" t="s">
        <v>42</v>
      </c>
      <c r="N8" s="2" t="s">
        <v>41</v>
      </c>
      <c r="O8" s="2" t="s">
        <v>42</v>
      </c>
      <c r="P8" s="2" t="s">
        <v>41</v>
      </c>
      <c r="Q8" s="3">
        <v>1</v>
      </c>
      <c r="R8" s="2" t="s">
        <v>40</v>
      </c>
      <c r="S8" s="2" t="s">
        <v>42</v>
      </c>
      <c r="T8" s="4">
        <f t="shared" si="0"/>
        <v>14</v>
      </c>
      <c r="U8" s="4">
        <f t="shared" si="1"/>
        <v>14</v>
      </c>
      <c r="V8" s="4">
        <f t="shared" si="2"/>
        <v>16</v>
      </c>
      <c r="W8" s="4">
        <f t="shared" si="3"/>
        <v>16</v>
      </c>
      <c r="X8" s="4">
        <f t="shared" si="4"/>
        <v>30</v>
      </c>
      <c r="Y8" s="4">
        <f t="shared" si="5"/>
        <v>75</v>
      </c>
    </row>
    <row r="9" spans="1:25" x14ac:dyDescent="0.25">
      <c r="A9">
        <v>9</v>
      </c>
      <c r="B9" s="1">
        <v>46233.579699074071</v>
      </c>
      <c r="C9" s="1">
        <v>46233.58184027778</v>
      </c>
      <c r="D9" t="s">
        <v>39</v>
      </c>
      <c r="F9" s="1"/>
      <c r="G9" s="2" t="s">
        <v>42</v>
      </c>
      <c r="H9" s="3">
        <v>1</v>
      </c>
      <c r="I9" s="3">
        <v>1</v>
      </c>
      <c r="J9" s="2" t="s">
        <v>40</v>
      </c>
      <c r="K9" s="3">
        <v>1</v>
      </c>
      <c r="L9" s="2" t="s">
        <v>41</v>
      </c>
      <c r="M9" s="3">
        <v>1</v>
      </c>
      <c r="N9" s="3">
        <v>5</v>
      </c>
      <c r="O9" s="2" t="s">
        <v>42</v>
      </c>
      <c r="P9" s="2" t="s">
        <v>40</v>
      </c>
      <c r="Q9" s="2" t="s">
        <v>42</v>
      </c>
      <c r="R9" s="2" t="s">
        <v>41</v>
      </c>
      <c r="S9" s="3">
        <v>1</v>
      </c>
      <c r="T9" s="4">
        <f t="shared" si="0"/>
        <v>14</v>
      </c>
      <c r="U9" s="4">
        <f t="shared" si="1"/>
        <v>14</v>
      </c>
      <c r="V9" s="4">
        <f t="shared" si="2"/>
        <v>18</v>
      </c>
      <c r="W9" s="4">
        <f t="shared" si="3"/>
        <v>18</v>
      </c>
      <c r="X9" s="4">
        <f t="shared" si="4"/>
        <v>32</v>
      </c>
      <c r="Y9" s="4">
        <f t="shared" si="5"/>
        <v>80</v>
      </c>
    </row>
    <row r="10" spans="1:25" x14ac:dyDescent="0.25">
      <c r="A10">
        <v>10</v>
      </c>
      <c r="B10" s="1">
        <v>46233.593356481484</v>
      </c>
      <c r="C10" s="1">
        <v>46233.59547453704</v>
      </c>
      <c r="D10" t="s">
        <v>39</v>
      </c>
      <c r="F10" s="1"/>
      <c r="G10" s="2" t="s">
        <v>42</v>
      </c>
      <c r="H10" s="3">
        <v>1</v>
      </c>
      <c r="I10" s="2" t="s">
        <v>42</v>
      </c>
      <c r="J10" s="2" t="s">
        <v>40</v>
      </c>
      <c r="K10" s="2" t="s">
        <v>42</v>
      </c>
      <c r="L10" s="2" t="s">
        <v>41</v>
      </c>
      <c r="M10" s="2" t="s">
        <v>41</v>
      </c>
      <c r="N10" s="2" t="s">
        <v>41</v>
      </c>
      <c r="O10" s="2" t="s">
        <v>42</v>
      </c>
      <c r="P10" s="2" t="s">
        <v>40</v>
      </c>
      <c r="Q10" s="2" t="s">
        <v>42</v>
      </c>
      <c r="R10" s="2" t="s">
        <v>41</v>
      </c>
      <c r="S10" s="2" t="s">
        <v>42</v>
      </c>
      <c r="T10" s="4">
        <f t="shared" si="0"/>
        <v>13</v>
      </c>
      <c r="U10" s="4">
        <f t="shared" si="1"/>
        <v>13</v>
      </c>
      <c r="V10" s="4">
        <f t="shared" si="2"/>
        <v>13</v>
      </c>
      <c r="W10" s="4">
        <f t="shared" si="3"/>
        <v>13</v>
      </c>
      <c r="X10" s="4">
        <f t="shared" si="4"/>
        <v>26</v>
      </c>
      <c r="Y10" s="4">
        <f t="shared" si="5"/>
        <v>65</v>
      </c>
    </row>
    <row r="11" spans="1:25" x14ac:dyDescent="0.25">
      <c r="A11">
        <v>11</v>
      </c>
      <c r="B11" s="1">
        <v>46233.60765046296</v>
      </c>
      <c r="C11" s="1">
        <v>46233.610775462963</v>
      </c>
      <c r="D11" t="s">
        <v>39</v>
      </c>
      <c r="F11" s="1"/>
      <c r="G11" s="2" t="s">
        <v>42</v>
      </c>
      <c r="H11" s="3">
        <v>1</v>
      </c>
      <c r="I11" s="3">
        <v>1</v>
      </c>
      <c r="J11" s="2" t="s">
        <v>41</v>
      </c>
      <c r="K11" s="2" t="s">
        <v>42</v>
      </c>
      <c r="L11" s="3">
        <v>5</v>
      </c>
      <c r="M11" s="2" t="s">
        <v>40</v>
      </c>
      <c r="N11" s="2" t="s">
        <v>41</v>
      </c>
      <c r="O11" s="2" t="s">
        <v>40</v>
      </c>
      <c r="P11" s="2" t="s">
        <v>41</v>
      </c>
      <c r="Q11" s="2" t="s">
        <v>42</v>
      </c>
      <c r="R11" s="2" t="s">
        <v>41</v>
      </c>
      <c r="S11" s="2" t="s">
        <v>42</v>
      </c>
      <c r="T11" s="4">
        <f t="shared" si="0"/>
        <v>16</v>
      </c>
      <c r="U11" s="4">
        <f t="shared" si="1"/>
        <v>16</v>
      </c>
      <c r="V11" s="4">
        <f t="shared" si="2"/>
        <v>13</v>
      </c>
      <c r="W11" s="4">
        <f t="shared" si="3"/>
        <v>13</v>
      </c>
      <c r="X11" s="4">
        <f t="shared" si="4"/>
        <v>29</v>
      </c>
      <c r="Y11" s="4">
        <f t="shared" si="5"/>
        <v>72.5</v>
      </c>
    </row>
    <row r="12" spans="1:25" x14ac:dyDescent="0.25">
      <c r="A12">
        <v>12</v>
      </c>
      <c r="B12" s="1">
        <v>46233.625034722223</v>
      </c>
      <c r="C12" s="1">
        <v>46233.630439814813</v>
      </c>
      <c r="D12" t="s">
        <v>39</v>
      </c>
      <c r="F12" s="1"/>
      <c r="G12" s="3">
        <v>1</v>
      </c>
      <c r="H12" s="3">
        <v>1</v>
      </c>
      <c r="I12" s="2" t="s">
        <v>42</v>
      </c>
      <c r="J12" s="3">
        <v>5</v>
      </c>
      <c r="K12" s="2" t="s">
        <v>42</v>
      </c>
      <c r="L12" s="2" t="s">
        <v>41</v>
      </c>
      <c r="M12" s="2" t="s">
        <v>40</v>
      </c>
      <c r="N12" s="2" t="s">
        <v>41</v>
      </c>
      <c r="O12" s="3">
        <v>1</v>
      </c>
      <c r="P12" s="2" t="s">
        <v>41</v>
      </c>
      <c r="Q12" s="2" t="s">
        <v>42</v>
      </c>
      <c r="R12" s="2" t="s">
        <v>40</v>
      </c>
      <c r="S12" s="2" t="s">
        <v>40</v>
      </c>
      <c r="T12" s="4">
        <f t="shared" si="0"/>
        <v>15</v>
      </c>
      <c r="U12" s="4">
        <f t="shared" si="1"/>
        <v>15</v>
      </c>
      <c r="V12" s="4">
        <f t="shared" si="2"/>
        <v>14</v>
      </c>
      <c r="W12" s="4">
        <f t="shared" si="3"/>
        <v>14</v>
      </c>
      <c r="X12" s="4">
        <f t="shared" si="4"/>
        <v>29</v>
      </c>
      <c r="Y12" s="4">
        <f t="shared" si="5"/>
        <v>72.5</v>
      </c>
    </row>
    <row r="13" spans="1:25" x14ac:dyDescent="0.25">
      <c r="A13">
        <v>13</v>
      </c>
      <c r="B13" s="1">
        <v>46233.642847222225</v>
      </c>
      <c r="C13" s="1">
        <v>46233.648206018515</v>
      </c>
      <c r="D13" t="s">
        <v>39</v>
      </c>
      <c r="F13" s="1"/>
      <c r="G13" s="2" t="s">
        <v>42</v>
      </c>
      <c r="H13" s="3">
        <v>1</v>
      </c>
      <c r="I13" s="2" t="s">
        <v>41</v>
      </c>
      <c r="J13" s="2" t="s">
        <v>42</v>
      </c>
      <c r="K13" s="2" t="s">
        <v>42</v>
      </c>
      <c r="L13" s="2" t="s">
        <v>41</v>
      </c>
      <c r="M13" s="3">
        <v>1</v>
      </c>
      <c r="N13" s="2" t="s">
        <v>42</v>
      </c>
      <c r="O13" s="2" t="s">
        <v>40</v>
      </c>
      <c r="P13" s="2" t="s">
        <v>40</v>
      </c>
      <c r="Q13" s="2" t="s">
        <v>41</v>
      </c>
      <c r="R13" s="2" t="s">
        <v>41</v>
      </c>
      <c r="S13" s="3">
        <v>1</v>
      </c>
      <c r="T13" s="4">
        <f t="shared" si="0"/>
        <v>10</v>
      </c>
      <c r="U13" s="4">
        <f t="shared" si="1"/>
        <v>10</v>
      </c>
      <c r="V13" s="4">
        <f t="shared" si="2"/>
        <v>14</v>
      </c>
      <c r="W13" s="4">
        <f t="shared" si="3"/>
        <v>14</v>
      </c>
      <c r="X13" s="4">
        <f t="shared" si="4"/>
        <v>24</v>
      </c>
      <c r="Y13" s="4">
        <f t="shared" si="5"/>
        <v>60</v>
      </c>
    </row>
    <row r="14" spans="1:25" x14ac:dyDescent="0.25">
      <c r="A14">
        <v>14</v>
      </c>
      <c r="B14" s="1">
        <v>46233.659247685187</v>
      </c>
      <c r="C14" s="1">
        <v>46233.662164351852</v>
      </c>
      <c r="D14" t="s">
        <v>39</v>
      </c>
      <c r="F14" s="1"/>
      <c r="G14" s="2" t="s">
        <v>40</v>
      </c>
      <c r="H14" s="3">
        <v>1</v>
      </c>
      <c r="I14" s="2" t="s">
        <v>42</v>
      </c>
      <c r="J14" s="2" t="s">
        <v>40</v>
      </c>
      <c r="K14" s="2" t="s">
        <v>42</v>
      </c>
      <c r="L14" s="2" t="s">
        <v>40</v>
      </c>
      <c r="M14" s="2" t="s">
        <v>42</v>
      </c>
      <c r="N14" s="2" t="s">
        <v>41</v>
      </c>
      <c r="O14" s="2" t="s">
        <v>42</v>
      </c>
      <c r="P14" s="2" t="s">
        <v>41</v>
      </c>
      <c r="Q14" s="2" t="s">
        <v>42</v>
      </c>
      <c r="R14" s="2" t="s">
        <v>40</v>
      </c>
      <c r="S14" s="2" t="s">
        <v>42</v>
      </c>
      <c r="T14" s="4">
        <f t="shared" si="0"/>
        <v>12</v>
      </c>
      <c r="U14" s="4">
        <f t="shared" si="1"/>
        <v>12</v>
      </c>
      <c r="V14" s="4">
        <f t="shared" si="2"/>
        <v>15</v>
      </c>
      <c r="W14" s="4">
        <f t="shared" si="3"/>
        <v>15</v>
      </c>
      <c r="X14" s="4">
        <f t="shared" si="4"/>
        <v>27</v>
      </c>
      <c r="Y14" s="4">
        <f t="shared" si="5"/>
        <v>67.5</v>
      </c>
    </row>
    <row r="15" spans="1:25" x14ac:dyDescent="0.25">
      <c r="A15">
        <v>15</v>
      </c>
      <c r="B15" s="1">
        <v>46233.676921296297</v>
      </c>
      <c r="C15" s="1">
        <v>46233.679583333331</v>
      </c>
      <c r="D15" t="s">
        <v>39</v>
      </c>
      <c r="F15" s="1"/>
      <c r="G15" s="3">
        <v>1</v>
      </c>
      <c r="H15" s="3">
        <v>1</v>
      </c>
      <c r="I15" s="3">
        <v>5</v>
      </c>
      <c r="J15" s="2" t="s">
        <v>42</v>
      </c>
      <c r="K15" s="2" t="s">
        <v>42</v>
      </c>
      <c r="L15" s="2" t="s">
        <v>40</v>
      </c>
      <c r="M15" s="2" t="s">
        <v>40</v>
      </c>
      <c r="N15" s="2" t="s">
        <v>42</v>
      </c>
      <c r="O15" s="2" t="s">
        <v>40</v>
      </c>
      <c r="P15" s="2" t="s">
        <v>40</v>
      </c>
      <c r="Q15" s="2" t="s">
        <v>40</v>
      </c>
      <c r="R15" s="2" t="s">
        <v>41</v>
      </c>
      <c r="S15" s="2" t="s">
        <v>42</v>
      </c>
      <c r="T15" s="4">
        <f t="shared" si="0"/>
        <v>9</v>
      </c>
      <c r="U15" s="4">
        <f t="shared" si="1"/>
        <v>9</v>
      </c>
      <c r="V15" s="4">
        <f t="shared" si="2"/>
        <v>12</v>
      </c>
      <c r="W15" s="4">
        <f t="shared" si="3"/>
        <v>12</v>
      </c>
      <c r="X15" s="4">
        <f t="shared" si="4"/>
        <v>21</v>
      </c>
      <c r="Y15" s="4">
        <f t="shared" si="5"/>
        <v>52.5</v>
      </c>
    </row>
    <row r="16" spans="1:25" x14ac:dyDescent="0.25">
      <c r="A16">
        <v>16</v>
      </c>
      <c r="B16" s="1">
        <v>46233.694131944445</v>
      </c>
      <c r="C16" s="1">
        <v>46233.706712962965</v>
      </c>
      <c r="D16" t="s">
        <v>39</v>
      </c>
      <c r="F16" s="1"/>
      <c r="G16" s="3">
        <v>1</v>
      </c>
      <c r="H16" s="3">
        <v>1</v>
      </c>
      <c r="I16" s="2" t="s">
        <v>42</v>
      </c>
      <c r="J16" s="3">
        <v>5</v>
      </c>
      <c r="K16" s="3">
        <v>1</v>
      </c>
      <c r="L16" s="3">
        <v>5</v>
      </c>
      <c r="M16" s="3">
        <v>1</v>
      </c>
      <c r="N16" s="2" t="s">
        <v>41</v>
      </c>
      <c r="O16" s="3">
        <v>1</v>
      </c>
      <c r="P16" s="3">
        <v>5</v>
      </c>
      <c r="Q16" s="3">
        <v>1</v>
      </c>
      <c r="R16" s="3">
        <v>5</v>
      </c>
      <c r="S16" s="3">
        <v>1</v>
      </c>
      <c r="T16" s="4">
        <f t="shared" si="0"/>
        <v>19</v>
      </c>
      <c r="U16" s="4">
        <f t="shared" si="1"/>
        <v>19</v>
      </c>
      <c r="V16" s="4">
        <f t="shared" si="2"/>
        <v>20</v>
      </c>
      <c r="W16" s="4">
        <f t="shared" si="3"/>
        <v>20</v>
      </c>
      <c r="X16" s="4">
        <f t="shared" si="4"/>
        <v>39</v>
      </c>
      <c r="Y16" s="4">
        <f t="shared" si="5"/>
        <v>97.5</v>
      </c>
    </row>
    <row r="17" spans="1:25" x14ac:dyDescent="0.25">
      <c r="A17">
        <v>17</v>
      </c>
      <c r="B17" s="1">
        <v>46233.716504629629</v>
      </c>
      <c r="C17" s="1">
        <v>46233.72152777778</v>
      </c>
      <c r="D17" t="s">
        <v>39</v>
      </c>
      <c r="F17" s="1"/>
      <c r="G17" s="2" t="s">
        <v>41</v>
      </c>
      <c r="H17" s="3">
        <v>1</v>
      </c>
      <c r="I17" s="2" t="s">
        <v>40</v>
      </c>
      <c r="J17" s="2" t="s">
        <v>41</v>
      </c>
      <c r="K17" s="2" t="s">
        <v>42</v>
      </c>
      <c r="L17" s="2" t="s">
        <v>41</v>
      </c>
      <c r="M17" s="2" t="s">
        <v>40</v>
      </c>
      <c r="N17" s="2" t="s">
        <v>41</v>
      </c>
      <c r="O17" s="2" t="s">
        <v>42</v>
      </c>
      <c r="P17" s="2" t="s">
        <v>41</v>
      </c>
      <c r="Q17" s="2" t="s">
        <v>42</v>
      </c>
      <c r="R17" s="2" t="s">
        <v>41</v>
      </c>
      <c r="S17" s="2" t="s">
        <v>42</v>
      </c>
      <c r="T17" s="4">
        <f t="shared" si="0"/>
        <v>15</v>
      </c>
      <c r="U17" s="4">
        <f t="shared" si="1"/>
        <v>15</v>
      </c>
      <c r="V17" s="4">
        <f t="shared" si="2"/>
        <v>14</v>
      </c>
      <c r="W17" s="4">
        <f t="shared" si="3"/>
        <v>14</v>
      </c>
      <c r="X17" s="4">
        <f t="shared" si="4"/>
        <v>29</v>
      </c>
      <c r="Y17" s="4">
        <f t="shared" si="5"/>
        <v>72.5</v>
      </c>
    </row>
    <row r="18" spans="1:25" x14ac:dyDescent="0.25">
      <c r="A18">
        <v>18</v>
      </c>
      <c r="B18" s="1">
        <v>46233.736562500002</v>
      </c>
      <c r="C18" s="1">
        <v>46233.742129629631</v>
      </c>
      <c r="D18" t="s">
        <v>39</v>
      </c>
      <c r="F18" s="1"/>
      <c r="G18" s="2" t="s">
        <v>42</v>
      </c>
      <c r="H18" s="3">
        <v>1</v>
      </c>
      <c r="I18" s="3">
        <v>1</v>
      </c>
      <c r="J18" s="3">
        <v>5</v>
      </c>
      <c r="K18" s="2" t="s">
        <v>42</v>
      </c>
      <c r="L18" s="2" t="s">
        <v>41</v>
      </c>
      <c r="M18" s="3">
        <v>1</v>
      </c>
      <c r="N18" s="2" t="s">
        <v>41</v>
      </c>
      <c r="O18" s="2" t="s">
        <v>42</v>
      </c>
      <c r="P18" s="2" t="s">
        <v>41</v>
      </c>
      <c r="Q18" s="2" t="s">
        <v>42</v>
      </c>
      <c r="R18" s="2" t="s">
        <v>41</v>
      </c>
      <c r="S18" s="3">
        <v>1</v>
      </c>
      <c r="T18" s="4">
        <f t="shared" si="0"/>
        <v>16</v>
      </c>
      <c r="U18" s="4">
        <f t="shared" si="1"/>
        <v>16</v>
      </c>
      <c r="V18" s="4">
        <f t="shared" si="2"/>
        <v>17</v>
      </c>
      <c r="W18" s="4">
        <f t="shared" si="3"/>
        <v>17</v>
      </c>
      <c r="X18" s="4">
        <f t="shared" si="4"/>
        <v>33</v>
      </c>
      <c r="Y18" s="4">
        <f t="shared" si="5"/>
        <v>82.5</v>
      </c>
    </row>
    <row r="19" spans="1:25" x14ac:dyDescent="0.25">
      <c r="A19">
        <v>19</v>
      </c>
      <c r="B19" s="1">
        <v>46233.755497685182</v>
      </c>
      <c r="C19" s="1">
        <v>46233.760393518518</v>
      </c>
      <c r="D19" t="s">
        <v>39</v>
      </c>
      <c r="F19" s="1"/>
      <c r="G19" s="3">
        <v>1</v>
      </c>
      <c r="H19" s="3">
        <v>1</v>
      </c>
      <c r="I19" s="3">
        <v>5</v>
      </c>
      <c r="J19" s="3">
        <v>1</v>
      </c>
      <c r="K19" s="3">
        <v>5</v>
      </c>
      <c r="L19" s="2" t="s">
        <v>42</v>
      </c>
      <c r="M19" s="2" t="s">
        <v>40</v>
      </c>
      <c r="N19" s="2" t="s">
        <v>42</v>
      </c>
      <c r="O19" s="2" t="s">
        <v>41</v>
      </c>
      <c r="P19" s="3">
        <v>1</v>
      </c>
      <c r="Q19" s="2" t="s">
        <v>41</v>
      </c>
      <c r="R19" s="3">
        <v>1</v>
      </c>
      <c r="S19" s="2" t="s">
        <v>40</v>
      </c>
      <c r="T19" s="4">
        <f t="shared" si="0"/>
        <v>2</v>
      </c>
      <c r="U19" s="4">
        <f t="shared" si="1"/>
        <v>2</v>
      </c>
      <c r="V19" s="4">
        <f t="shared" si="2"/>
        <v>6</v>
      </c>
      <c r="W19" s="4">
        <f t="shared" si="3"/>
        <v>6</v>
      </c>
      <c r="X19" s="4">
        <f t="shared" si="4"/>
        <v>8</v>
      </c>
      <c r="Y19" s="4">
        <f t="shared" si="5"/>
        <v>20</v>
      </c>
    </row>
    <row r="20" spans="1:25" x14ac:dyDescent="0.2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25" x14ac:dyDescent="0.25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5" x14ac:dyDescent="0.2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25" x14ac:dyDescent="0.2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5" x14ac:dyDescent="0.2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5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5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5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5" x14ac:dyDescent="0.2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5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5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5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5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7:26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7:26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7:26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7:26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7:26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7:26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7:26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7:26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5" spans="7:26" x14ac:dyDescent="0.25">
      <c r="X45" s="5"/>
      <c r="Y45" s="5"/>
      <c r="Z45" s="5"/>
    </row>
    <row r="46" spans="7:26" x14ac:dyDescent="0.25">
      <c r="X46" s="5"/>
      <c r="Y46" s="5">
        <f>AVERAGE(Y2:Y45)</f>
        <v>65.416666666666671</v>
      </c>
      <c r="Z46" s="5"/>
    </row>
    <row r="47" spans="7:26" x14ac:dyDescent="0.25">
      <c r="X47" s="5"/>
      <c r="Y47" s="5"/>
      <c r="Z4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DE11-2415-4E8B-8CAD-2C75CD77F921}">
  <dimension ref="A1:Z47"/>
  <sheetViews>
    <sheetView topLeftCell="L1" workbookViewId="0">
      <selection activeCell="B27" sqref="B27"/>
    </sheetView>
  </sheetViews>
  <sheetFormatPr baseColWidth="10" defaultColWidth="9.140625" defaultRowHeight="15" x14ac:dyDescent="0.25"/>
  <cols>
    <col min="1" max="19" width="20" bestFit="1" customWidth="1"/>
    <col min="20" max="20" width="19.42578125" bestFit="1" customWidth="1"/>
    <col min="21" max="21" width="13.7109375" bestFit="1" customWidth="1"/>
    <col min="22" max="22" width="20.42578125" bestFit="1" customWidth="1"/>
    <col min="23" max="23" width="15.5703125" bestFit="1" customWidth="1"/>
    <col min="24" max="24" width="7.7109375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</row>
    <row r="2" spans="1:25" x14ac:dyDescent="0.25">
      <c r="A2">
        <v>2</v>
      </c>
      <c r="B2" s="1">
        <v>46219.572534722225</v>
      </c>
      <c r="C2" s="1">
        <v>46219.577465277776</v>
      </c>
      <c r="D2" t="s">
        <v>39</v>
      </c>
      <c r="F2" s="1"/>
      <c r="G2" s="2" t="s">
        <v>40</v>
      </c>
      <c r="H2" s="3">
        <v>1</v>
      </c>
      <c r="I2" s="2" t="s">
        <v>41</v>
      </c>
      <c r="J2" s="2" t="s">
        <v>40</v>
      </c>
      <c r="K2" s="2" t="s">
        <v>42</v>
      </c>
      <c r="L2" s="2" t="s">
        <v>41</v>
      </c>
      <c r="M2" s="3">
        <v>1</v>
      </c>
      <c r="N2" s="2" t="s">
        <v>41</v>
      </c>
      <c r="O2" s="3">
        <v>1</v>
      </c>
      <c r="P2" s="3">
        <v>5</v>
      </c>
      <c r="Q2" s="2" t="s">
        <v>42</v>
      </c>
      <c r="R2" s="2" t="s">
        <v>41</v>
      </c>
      <c r="S2" s="3">
        <v>1</v>
      </c>
      <c r="T2" s="4">
        <f t="shared" ref="T2:T19" si="0">SUM(J2-1,L2-1,N2-1,P2-1,R2-1)</f>
        <v>15</v>
      </c>
      <c r="U2" s="4">
        <f t="shared" ref="U2:U19" si="1">T2</f>
        <v>15</v>
      </c>
      <c r="V2" s="4">
        <f t="shared" ref="V2:V19" si="2">SUM(5-K2,5-M2,5-O2,5-Q2,5-S2)</f>
        <v>18</v>
      </c>
      <c r="W2" s="4">
        <f t="shared" ref="W2:W19" si="3">V2</f>
        <v>18</v>
      </c>
      <c r="X2" s="4">
        <f t="shared" ref="X2:X19" si="4">SUM(U2,W2)</f>
        <v>33</v>
      </c>
      <c r="Y2" s="4">
        <f t="shared" ref="Y2:Y19" si="5">X2*2.5</f>
        <v>82.5</v>
      </c>
    </row>
    <row r="3" spans="1:25" x14ac:dyDescent="0.25">
      <c r="A3">
        <v>3</v>
      </c>
      <c r="B3" s="1">
        <v>46219.598402777781</v>
      </c>
      <c r="C3" s="1">
        <v>46219.601493055554</v>
      </c>
      <c r="D3" t="s">
        <v>39</v>
      </c>
      <c r="F3" s="1"/>
      <c r="G3" s="2" t="s">
        <v>41</v>
      </c>
      <c r="H3" s="3">
        <v>1</v>
      </c>
      <c r="I3" s="3">
        <v>1</v>
      </c>
      <c r="J3" s="2" t="s">
        <v>42</v>
      </c>
      <c r="K3" s="2" t="s">
        <v>41</v>
      </c>
      <c r="L3" s="2" t="s">
        <v>42</v>
      </c>
      <c r="M3" s="3">
        <v>5</v>
      </c>
      <c r="N3" s="2" t="s">
        <v>42</v>
      </c>
      <c r="O3" s="2" t="s">
        <v>40</v>
      </c>
      <c r="P3" s="2" t="s">
        <v>42</v>
      </c>
      <c r="Q3" s="2" t="s">
        <v>42</v>
      </c>
      <c r="R3" s="2" t="s">
        <v>40</v>
      </c>
      <c r="S3" s="2" t="s">
        <v>40</v>
      </c>
      <c r="T3" s="4">
        <f t="shared" si="0"/>
        <v>6</v>
      </c>
      <c r="U3" s="4">
        <f t="shared" si="1"/>
        <v>6</v>
      </c>
      <c r="V3" s="4">
        <f t="shared" si="2"/>
        <v>8</v>
      </c>
      <c r="W3" s="4">
        <f t="shared" si="3"/>
        <v>8</v>
      </c>
      <c r="X3" s="4">
        <f t="shared" si="4"/>
        <v>14</v>
      </c>
      <c r="Y3" s="4">
        <f t="shared" si="5"/>
        <v>35</v>
      </c>
    </row>
    <row r="4" spans="1:25" x14ac:dyDescent="0.25">
      <c r="A4">
        <v>4</v>
      </c>
      <c r="B4" s="1">
        <v>46219.620115740741</v>
      </c>
      <c r="C4" s="1">
        <v>46219.625497685185</v>
      </c>
      <c r="D4" t="s">
        <v>39</v>
      </c>
      <c r="F4" s="1"/>
      <c r="G4" s="3">
        <v>1</v>
      </c>
      <c r="H4" s="3">
        <v>1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2" t="s">
        <v>40</v>
      </c>
      <c r="Q4" s="3">
        <v>1</v>
      </c>
      <c r="R4" s="3">
        <v>5</v>
      </c>
      <c r="S4" s="3">
        <v>1</v>
      </c>
      <c r="T4" s="4">
        <f t="shared" si="0"/>
        <v>18</v>
      </c>
      <c r="U4" s="4">
        <f t="shared" si="1"/>
        <v>18</v>
      </c>
      <c r="V4" s="4">
        <f t="shared" si="2"/>
        <v>20</v>
      </c>
      <c r="W4" s="4">
        <f t="shared" si="3"/>
        <v>20</v>
      </c>
      <c r="X4" s="4">
        <f t="shared" si="4"/>
        <v>38</v>
      </c>
      <c r="Y4" s="4">
        <f t="shared" si="5"/>
        <v>95</v>
      </c>
    </row>
    <row r="5" spans="1:25" x14ac:dyDescent="0.25">
      <c r="A5">
        <v>5</v>
      </c>
      <c r="B5" s="1">
        <v>46219.626435185186</v>
      </c>
      <c r="C5" s="1">
        <v>46219.645798611113</v>
      </c>
      <c r="D5" t="s">
        <v>39</v>
      </c>
      <c r="F5" s="1"/>
      <c r="G5" s="3">
        <v>5</v>
      </c>
      <c r="H5" s="2" t="s">
        <v>41</v>
      </c>
      <c r="I5" s="3">
        <v>1</v>
      </c>
      <c r="J5" s="3">
        <v>5</v>
      </c>
      <c r="K5" s="3">
        <v>1</v>
      </c>
      <c r="L5" s="3">
        <v>5</v>
      </c>
      <c r="M5" s="2" t="s">
        <v>40</v>
      </c>
      <c r="N5" s="3">
        <v>5</v>
      </c>
      <c r="O5" s="3">
        <v>1</v>
      </c>
      <c r="P5" s="2" t="s">
        <v>40</v>
      </c>
      <c r="Q5" s="3">
        <v>1</v>
      </c>
      <c r="R5" s="2" t="s">
        <v>40</v>
      </c>
      <c r="S5" s="2" t="s">
        <v>40</v>
      </c>
      <c r="T5" s="4">
        <f t="shared" si="0"/>
        <v>16</v>
      </c>
      <c r="U5" s="4">
        <f t="shared" si="1"/>
        <v>16</v>
      </c>
      <c r="V5" s="4">
        <f t="shared" si="2"/>
        <v>16</v>
      </c>
      <c r="W5" s="4">
        <f t="shared" si="3"/>
        <v>16</v>
      </c>
      <c r="X5" s="4">
        <f t="shared" si="4"/>
        <v>32</v>
      </c>
      <c r="Y5" s="4">
        <f t="shared" si="5"/>
        <v>80</v>
      </c>
    </row>
    <row r="6" spans="1:25" x14ac:dyDescent="0.25">
      <c r="A6">
        <v>6</v>
      </c>
      <c r="B6" s="1">
        <v>46219.64947916667</v>
      </c>
      <c r="C6" s="1">
        <v>46219.659548611111</v>
      </c>
      <c r="D6" t="s">
        <v>39</v>
      </c>
      <c r="F6" s="1"/>
      <c r="G6" s="2" t="s">
        <v>40</v>
      </c>
      <c r="H6" s="2" t="s">
        <v>42</v>
      </c>
      <c r="I6" s="3">
        <v>1</v>
      </c>
      <c r="J6" s="3">
        <v>5</v>
      </c>
      <c r="K6" s="2" t="s">
        <v>42</v>
      </c>
      <c r="L6" s="3">
        <v>5</v>
      </c>
      <c r="M6" s="2" t="s">
        <v>42</v>
      </c>
      <c r="N6" s="3">
        <v>5</v>
      </c>
      <c r="O6" s="3">
        <v>1</v>
      </c>
      <c r="P6" s="3">
        <v>5</v>
      </c>
      <c r="Q6" s="3">
        <v>1</v>
      </c>
      <c r="R6" s="2" t="s">
        <v>41</v>
      </c>
      <c r="S6" s="2" t="s">
        <v>42</v>
      </c>
      <c r="T6" s="4">
        <f t="shared" si="0"/>
        <v>19</v>
      </c>
      <c r="U6" s="4">
        <f t="shared" si="1"/>
        <v>19</v>
      </c>
      <c r="V6" s="4">
        <f t="shared" si="2"/>
        <v>17</v>
      </c>
      <c r="W6" s="4">
        <f t="shared" si="3"/>
        <v>17</v>
      </c>
      <c r="X6" s="4">
        <f t="shared" si="4"/>
        <v>36</v>
      </c>
      <c r="Y6" s="4">
        <f t="shared" si="5"/>
        <v>90</v>
      </c>
    </row>
    <row r="7" spans="1:25" x14ac:dyDescent="0.25">
      <c r="A7">
        <v>7</v>
      </c>
      <c r="B7" s="1">
        <v>46219.660162037035</v>
      </c>
      <c r="C7" s="1">
        <v>46219.677939814814</v>
      </c>
      <c r="D7" t="s">
        <v>39</v>
      </c>
      <c r="F7" s="1"/>
      <c r="G7" s="3">
        <v>1</v>
      </c>
      <c r="H7" s="3">
        <v>1</v>
      </c>
      <c r="I7" s="3">
        <v>1</v>
      </c>
      <c r="J7" s="3">
        <v>5</v>
      </c>
      <c r="K7" s="2" t="s">
        <v>42</v>
      </c>
      <c r="L7" s="2" t="s">
        <v>41</v>
      </c>
      <c r="M7" s="2" t="s">
        <v>42</v>
      </c>
      <c r="N7" s="2" t="s">
        <v>41</v>
      </c>
      <c r="O7" s="2" t="s">
        <v>42</v>
      </c>
      <c r="P7" s="2" t="s">
        <v>41</v>
      </c>
      <c r="Q7" s="2" t="s">
        <v>42</v>
      </c>
      <c r="R7" s="2" t="s">
        <v>41</v>
      </c>
      <c r="S7" s="2" t="s">
        <v>42</v>
      </c>
      <c r="T7" s="4">
        <f t="shared" si="0"/>
        <v>16</v>
      </c>
      <c r="U7" s="4">
        <f t="shared" si="1"/>
        <v>16</v>
      </c>
      <c r="V7" s="4">
        <f t="shared" si="2"/>
        <v>15</v>
      </c>
      <c r="W7" s="4">
        <f t="shared" si="3"/>
        <v>15</v>
      </c>
      <c r="X7" s="4">
        <f t="shared" si="4"/>
        <v>31</v>
      </c>
      <c r="Y7" s="4">
        <f t="shared" si="5"/>
        <v>77.5</v>
      </c>
    </row>
    <row r="8" spans="1:25" x14ac:dyDescent="0.25">
      <c r="A8">
        <v>8</v>
      </c>
      <c r="B8" s="1">
        <v>46229.487164351849</v>
      </c>
      <c r="C8" s="1">
        <v>46229.488344907404</v>
      </c>
      <c r="D8" t="s">
        <v>39</v>
      </c>
      <c r="F8" s="1"/>
      <c r="G8" s="3">
        <v>5</v>
      </c>
      <c r="H8" s="3">
        <v>1</v>
      </c>
      <c r="I8" s="3">
        <v>1</v>
      </c>
      <c r="J8" s="2" t="s">
        <v>40</v>
      </c>
      <c r="K8" s="2" t="s">
        <v>42</v>
      </c>
      <c r="L8" s="2" t="s">
        <v>40</v>
      </c>
      <c r="M8" s="2" t="s">
        <v>42</v>
      </c>
      <c r="N8" s="2" t="s">
        <v>40</v>
      </c>
      <c r="O8" s="2" t="s">
        <v>40</v>
      </c>
      <c r="P8" s="2" t="s">
        <v>42</v>
      </c>
      <c r="Q8" s="2" t="s">
        <v>42</v>
      </c>
      <c r="R8" s="2" t="s">
        <v>40</v>
      </c>
      <c r="S8" s="2" t="s">
        <v>42</v>
      </c>
      <c r="T8" s="4">
        <f t="shared" si="0"/>
        <v>9</v>
      </c>
      <c r="U8" s="4">
        <f t="shared" si="1"/>
        <v>9</v>
      </c>
      <c r="V8" s="4">
        <f t="shared" si="2"/>
        <v>14</v>
      </c>
      <c r="W8" s="4">
        <f t="shared" si="3"/>
        <v>14</v>
      </c>
      <c r="X8" s="4">
        <f t="shared" si="4"/>
        <v>23</v>
      </c>
      <c r="Y8" s="4">
        <f t="shared" si="5"/>
        <v>57.5</v>
      </c>
    </row>
    <row r="9" spans="1:25" x14ac:dyDescent="0.25">
      <c r="A9">
        <v>9</v>
      </c>
      <c r="B9" s="1">
        <v>46233.579699074071</v>
      </c>
      <c r="C9" s="1">
        <v>46233.58184027778</v>
      </c>
      <c r="D9" t="s">
        <v>39</v>
      </c>
      <c r="F9" s="1"/>
      <c r="G9" s="2" t="s">
        <v>42</v>
      </c>
      <c r="H9" s="3">
        <v>1</v>
      </c>
      <c r="I9" s="3">
        <v>1</v>
      </c>
      <c r="J9" s="2" t="s">
        <v>40</v>
      </c>
      <c r="K9" s="2" t="s">
        <v>42</v>
      </c>
      <c r="L9" s="2" t="s">
        <v>40</v>
      </c>
      <c r="M9" s="3">
        <v>1</v>
      </c>
      <c r="N9" s="2" t="s">
        <v>41</v>
      </c>
      <c r="O9" s="2" t="s">
        <v>40</v>
      </c>
      <c r="P9" s="2" t="s">
        <v>42</v>
      </c>
      <c r="Q9" s="2" t="s">
        <v>40</v>
      </c>
      <c r="R9" s="2" t="s">
        <v>40</v>
      </c>
      <c r="S9" s="2" t="s">
        <v>42</v>
      </c>
      <c r="T9" s="4">
        <f t="shared" si="0"/>
        <v>10</v>
      </c>
      <c r="U9" s="4">
        <f t="shared" si="1"/>
        <v>10</v>
      </c>
      <c r="V9" s="4">
        <f t="shared" si="2"/>
        <v>14</v>
      </c>
      <c r="W9" s="4">
        <f t="shared" si="3"/>
        <v>14</v>
      </c>
      <c r="X9" s="4">
        <f t="shared" si="4"/>
        <v>24</v>
      </c>
      <c r="Y9" s="4">
        <f t="shared" si="5"/>
        <v>60</v>
      </c>
    </row>
    <row r="10" spans="1:25" x14ac:dyDescent="0.25">
      <c r="A10">
        <v>10</v>
      </c>
      <c r="B10" s="1">
        <v>46233.593356481484</v>
      </c>
      <c r="C10" s="1">
        <v>46233.59547453704</v>
      </c>
      <c r="D10" t="s">
        <v>39</v>
      </c>
      <c r="F10" s="1"/>
      <c r="G10" s="2" t="s">
        <v>42</v>
      </c>
      <c r="H10" s="3">
        <v>1</v>
      </c>
      <c r="I10" s="2" t="s">
        <v>42</v>
      </c>
      <c r="J10" s="2" t="s">
        <v>41</v>
      </c>
      <c r="K10" s="3">
        <v>1</v>
      </c>
      <c r="L10" s="2" t="s">
        <v>41</v>
      </c>
      <c r="M10" s="2" t="s">
        <v>41</v>
      </c>
      <c r="N10" s="2" t="s">
        <v>41</v>
      </c>
      <c r="O10" s="3">
        <v>1</v>
      </c>
      <c r="P10" s="2" t="s">
        <v>40</v>
      </c>
      <c r="Q10" s="3">
        <v>1</v>
      </c>
      <c r="R10" s="2" t="s">
        <v>41</v>
      </c>
      <c r="S10" s="2" t="s">
        <v>41</v>
      </c>
      <c r="T10" s="4">
        <f t="shared" si="0"/>
        <v>14</v>
      </c>
      <c r="U10" s="4">
        <f t="shared" si="1"/>
        <v>14</v>
      </c>
      <c r="V10" s="4">
        <f t="shared" si="2"/>
        <v>14</v>
      </c>
      <c r="W10" s="4">
        <f t="shared" si="3"/>
        <v>14</v>
      </c>
      <c r="X10" s="4">
        <f t="shared" si="4"/>
        <v>28</v>
      </c>
      <c r="Y10" s="4">
        <f t="shared" si="5"/>
        <v>70</v>
      </c>
    </row>
    <row r="11" spans="1:25" x14ac:dyDescent="0.25">
      <c r="A11">
        <v>11</v>
      </c>
      <c r="B11" s="1">
        <v>46233.60765046296</v>
      </c>
      <c r="C11" s="1">
        <v>46233.610775462963</v>
      </c>
      <c r="D11" t="s">
        <v>39</v>
      </c>
      <c r="F11" s="1"/>
      <c r="G11" s="2" t="s">
        <v>42</v>
      </c>
      <c r="H11" s="3">
        <v>1</v>
      </c>
      <c r="I11" s="3">
        <v>1</v>
      </c>
      <c r="J11" s="2" t="s">
        <v>42</v>
      </c>
      <c r="K11" s="2" t="s">
        <v>41</v>
      </c>
      <c r="L11" s="2" t="s">
        <v>42</v>
      </c>
      <c r="M11" s="2" t="s">
        <v>41</v>
      </c>
      <c r="N11" s="2" t="s">
        <v>42</v>
      </c>
      <c r="O11" s="2" t="s">
        <v>40</v>
      </c>
      <c r="P11" s="2" t="s">
        <v>42</v>
      </c>
      <c r="Q11" s="2" t="s">
        <v>41</v>
      </c>
      <c r="R11" s="2" t="s">
        <v>42</v>
      </c>
      <c r="S11" s="2" t="s">
        <v>41</v>
      </c>
      <c r="T11" s="4">
        <f t="shared" si="0"/>
        <v>5</v>
      </c>
      <c r="U11" s="4">
        <f t="shared" si="1"/>
        <v>5</v>
      </c>
      <c r="V11" s="4">
        <f t="shared" si="2"/>
        <v>6</v>
      </c>
      <c r="W11" s="4">
        <f t="shared" si="3"/>
        <v>6</v>
      </c>
      <c r="X11" s="4">
        <f t="shared" si="4"/>
        <v>11</v>
      </c>
      <c r="Y11" s="4">
        <f t="shared" si="5"/>
        <v>27.5</v>
      </c>
    </row>
    <row r="12" spans="1:25" x14ac:dyDescent="0.25">
      <c r="A12">
        <v>12</v>
      </c>
      <c r="B12" s="1">
        <v>46233.625034722223</v>
      </c>
      <c r="C12" s="1">
        <v>46233.630439814813</v>
      </c>
      <c r="D12" t="s">
        <v>39</v>
      </c>
      <c r="F12" s="1"/>
      <c r="G12" s="3">
        <v>1</v>
      </c>
      <c r="H12" s="3">
        <v>1</v>
      </c>
      <c r="I12" s="2" t="s">
        <v>42</v>
      </c>
      <c r="J12" s="2" t="s">
        <v>42</v>
      </c>
      <c r="K12" s="2" t="s">
        <v>42</v>
      </c>
      <c r="L12" s="2" t="s">
        <v>40</v>
      </c>
      <c r="M12" s="2" t="s">
        <v>40</v>
      </c>
      <c r="N12" s="2" t="s">
        <v>40</v>
      </c>
      <c r="O12" s="2" t="s">
        <v>41</v>
      </c>
      <c r="P12" s="2" t="s">
        <v>41</v>
      </c>
      <c r="Q12" s="2" t="s">
        <v>40</v>
      </c>
      <c r="R12" s="2" t="s">
        <v>40</v>
      </c>
      <c r="S12" s="2" t="s">
        <v>40</v>
      </c>
      <c r="T12" s="4">
        <f t="shared" si="0"/>
        <v>10</v>
      </c>
      <c r="U12" s="4">
        <f t="shared" si="1"/>
        <v>10</v>
      </c>
      <c r="V12" s="4">
        <f t="shared" si="2"/>
        <v>10</v>
      </c>
      <c r="W12" s="4">
        <f t="shared" si="3"/>
        <v>10</v>
      </c>
      <c r="X12" s="4">
        <f t="shared" si="4"/>
        <v>20</v>
      </c>
      <c r="Y12" s="4">
        <f t="shared" si="5"/>
        <v>50</v>
      </c>
    </row>
    <row r="13" spans="1:25" x14ac:dyDescent="0.25">
      <c r="A13">
        <v>13</v>
      </c>
      <c r="B13" s="1">
        <v>46233.642847222225</v>
      </c>
      <c r="C13" s="1">
        <v>46233.648206018515</v>
      </c>
      <c r="D13" t="s">
        <v>39</v>
      </c>
      <c r="F13" s="1"/>
      <c r="G13" s="2" t="s">
        <v>42</v>
      </c>
      <c r="H13" s="3">
        <v>1</v>
      </c>
      <c r="I13" s="2" t="s">
        <v>41</v>
      </c>
      <c r="J13" s="2" t="s">
        <v>41</v>
      </c>
      <c r="K13" s="2" t="s">
        <v>40</v>
      </c>
      <c r="L13" s="2" t="s">
        <v>41</v>
      </c>
      <c r="M13" s="3">
        <v>1</v>
      </c>
      <c r="N13" s="2" t="s">
        <v>41</v>
      </c>
      <c r="O13" s="2" t="s">
        <v>42</v>
      </c>
      <c r="P13" s="3">
        <v>5</v>
      </c>
      <c r="Q13" s="2" t="s">
        <v>42</v>
      </c>
      <c r="R13" s="2" t="s">
        <v>41</v>
      </c>
      <c r="S13" s="3">
        <v>1</v>
      </c>
      <c r="T13" s="4">
        <f t="shared" si="0"/>
        <v>16</v>
      </c>
      <c r="U13" s="4">
        <f t="shared" si="1"/>
        <v>16</v>
      </c>
      <c r="V13" s="4">
        <f t="shared" si="2"/>
        <v>16</v>
      </c>
      <c r="W13" s="4">
        <f t="shared" si="3"/>
        <v>16</v>
      </c>
      <c r="X13" s="4">
        <f t="shared" si="4"/>
        <v>32</v>
      </c>
      <c r="Y13" s="4">
        <f t="shared" si="5"/>
        <v>80</v>
      </c>
    </row>
    <row r="14" spans="1:25" x14ac:dyDescent="0.25">
      <c r="A14">
        <v>14</v>
      </c>
      <c r="B14" s="1">
        <v>46233.659247685187</v>
      </c>
      <c r="C14" s="1">
        <v>46233.662164351852</v>
      </c>
      <c r="D14" t="s">
        <v>39</v>
      </c>
      <c r="F14" s="1"/>
      <c r="G14" s="2" t="s">
        <v>40</v>
      </c>
      <c r="H14" s="3">
        <v>1</v>
      </c>
      <c r="I14" s="2" t="s">
        <v>42</v>
      </c>
      <c r="J14" s="2" t="s">
        <v>40</v>
      </c>
      <c r="K14" s="2" t="s">
        <v>42</v>
      </c>
      <c r="L14" s="2" t="s">
        <v>40</v>
      </c>
      <c r="M14" s="2" t="s">
        <v>42</v>
      </c>
      <c r="N14" s="2" t="s">
        <v>40</v>
      </c>
      <c r="O14" s="2" t="s">
        <v>42</v>
      </c>
      <c r="P14" s="2" t="s">
        <v>41</v>
      </c>
      <c r="Q14" s="2" t="s">
        <v>42</v>
      </c>
      <c r="R14" s="2" t="s">
        <v>40</v>
      </c>
      <c r="S14" s="2" t="s">
        <v>42</v>
      </c>
      <c r="T14" s="4">
        <f t="shared" si="0"/>
        <v>11</v>
      </c>
      <c r="U14" s="4">
        <f t="shared" si="1"/>
        <v>11</v>
      </c>
      <c r="V14" s="4">
        <f t="shared" si="2"/>
        <v>15</v>
      </c>
      <c r="W14" s="4">
        <f t="shared" si="3"/>
        <v>15</v>
      </c>
      <c r="X14" s="4">
        <f t="shared" si="4"/>
        <v>26</v>
      </c>
      <c r="Y14" s="4">
        <f t="shared" si="5"/>
        <v>65</v>
      </c>
    </row>
    <row r="15" spans="1:25" x14ac:dyDescent="0.25">
      <c r="A15">
        <v>15</v>
      </c>
      <c r="B15" s="1">
        <v>46233.676921296297</v>
      </c>
      <c r="C15" s="1">
        <v>46233.679583333331</v>
      </c>
      <c r="D15" t="s">
        <v>39</v>
      </c>
      <c r="F15" s="1"/>
      <c r="G15" s="3">
        <v>1</v>
      </c>
      <c r="H15" s="3">
        <v>1</v>
      </c>
      <c r="I15" s="3">
        <v>5</v>
      </c>
      <c r="J15" s="3">
        <v>5</v>
      </c>
      <c r="K15" s="2" t="s">
        <v>42</v>
      </c>
      <c r="L15" s="3">
        <v>5</v>
      </c>
      <c r="M15" s="2" t="s">
        <v>42</v>
      </c>
      <c r="N15" s="2" t="s">
        <v>41</v>
      </c>
      <c r="O15" s="3">
        <v>1</v>
      </c>
      <c r="P15" s="2" t="s">
        <v>40</v>
      </c>
      <c r="Q15" s="3">
        <v>1</v>
      </c>
      <c r="R15" s="3">
        <v>5</v>
      </c>
      <c r="S15" s="2" t="s">
        <v>40</v>
      </c>
      <c r="T15" s="4">
        <f t="shared" si="0"/>
        <v>17</v>
      </c>
      <c r="U15" s="4">
        <f t="shared" si="1"/>
        <v>17</v>
      </c>
      <c r="V15" s="4">
        <f t="shared" si="2"/>
        <v>16</v>
      </c>
      <c r="W15" s="4">
        <f t="shared" si="3"/>
        <v>16</v>
      </c>
      <c r="X15" s="4">
        <f t="shared" si="4"/>
        <v>33</v>
      </c>
      <c r="Y15" s="4">
        <f t="shared" si="5"/>
        <v>82.5</v>
      </c>
    </row>
    <row r="16" spans="1:25" x14ac:dyDescent="0.25">
      <c r="A16">
        <v>16</v>
      </c>
      <c r="B16" s="1">
        <v>46233.694131944445</v>
      </c>
      <c r="C16" s="1">
        <v>46233.706712962965</v>
      </c>
      <c r="D16" t="s">
        <v>39</v>
      </c>
      <c r="F16" s="1"/>
      <c r="G16" s="3">
        <v>1</v>
      </c>
      <c r="H16" s="3">
        <v>1</v>
      </c>
      <c r="I16" s="2" t="s">
        <v>42</v>
      </c>
      <c r="J16" s="3">
        <v>5</v>
      </c>
      <c r="K16" s="3">
        <v>1</v>
      </c>
      <c r="L16" s="3">
        <v>5</v>
      </c>
      <c r="M16" s="3">
        <v>1</v>
      </c>
      <c r="N16" s="3">
        <v>5</v>
      </c>
      <c r="O16" s="3">
        <v>1</v>
      </c>
      <c r="P16" s="3">
        <v>5</v>
      </c>
      <c r="Q16" s="2" t="s">
        <v>42</v>
      </c>
      <c r="R16" s="3">
        <v>5</v>
      </c>
      <c r="S16" s="2" t="s">
        <v>41</v>
      </c>
      <c r="T16" s="4">
        <f t="shared" si="0"/>
        <v>20</v>
      </c>
      <c r="U16" s="4">
        <f t="shared" si="1"/>
        <v>20</v>
      </c>
      <c r="V16" s="4">
        <f t="shared" si="2"/>
        <v>16</v>
      </c>
      <c r="W16" s="4">
        <f t="shared" si="3"/>
        <v>16</v>
      </c>
      <c r="X16" s="4">
        <f t="shared" si="4"/>
        <v>36</v>
      </c>
      <c r="Y16" s="4">
        <f t="shared" si="5"/>
        <v>90</v>
      </c>
    </row>
    <row r="17" spans="1:25" x14ac:dyDescent="0.25">
      <c r="A17">
        <v>17</v>
      </c>
      <c r="B17" s="1">
        <v>46233.716504629629</v>
      </c>
      <c r="C17" s="1">
        <v>46233.72152777778</v>
      </c>
      <c r="D17" t="s">
        <v>39</v>
      </c>
      <c r="F17" s="1"/>
      <c r="G17" s="2" t="s">
        <v>41</v>
      </c>
      <c r="H17" s="3">
        <v>1</v>
      </c>
      <c r="I17" s="2" t="s">
        <v>40</v>
      </c>
      <c r="J17" s="2" t="s">
        <v>41</v>
      </c>
      <c r="K17" s="3">
        <v>1</v>
      </c>
      <c r="L17" s="2" t="s">
        <v>41</v>
      </c>
      <c r="M17" s="2" t="s">
        <v>42</v>
      </c>
      <c r="N17" s="2" t="s">
        <v>41</v>
      </c>
      <c r="O17" s="3">
        <v>1</v>
      </c>
      <c r="P17" s="2" t="s">
        <v>41</v>
      </c>
      <c r="Q17" s="3">
        <v>1</v>
      </c>
      <c r="R17" s="2" t="s">
        <v>41</v>
      </c>
      <c r="S17" s="2" t="s">
        <v>42</v>
      </c>
      <c r="T17" s="4">
        <f t="shared" si="0"/>
        <v>15</v>
      </c>
      <c r="U17" s="4">
        <f t="shared" si="1"/>
        <v>15</v>
      </c>
      <c r="V17" s="4">
        <f t="shared" si="2"/>
        <v>18</v>
      </c>
      <c r="W17" s="4">
        <f t="shared" si="3"/>
        <v>18</v>
      </c>
      <c r="X17" s="4">
        <f t="shared" si="4"/>
        <v>33</v>
      </c>
      <c r="Y17" s="4">
        <f t="shared" si="5"/>
        <v>82.5</v>
      </c>
    </row>
    <row r="18" spans="1:25" x14ac:dyDescent="0.25">
      <c r="A18">
        <v>18</v>
      </c>
      <c r="B18" s="1">
        <v>46233.736562500002</v>
      </c>
      <c r="C18" s="1">
        <v>46233.742129629631</v>
      </c>
      <c r="D18" t="s">
        <v>39</v>
      </c>
      <c r="F18" s="1"/>
      <c r="G18" s="2" t="s">
        <v>42</v>
      </c>
      <c r="H18" s="3">
        <v>1</v>
      </c>
      <c r="I18" s="3">
        <v>1</v>
      </c>
      <c r="J18" s="2" t="s">
        <v>41</v>
      </c>
      <c r="K18" s="2" t="s">
        <v>42</v>
      </c>
      <c r="L18" s="2" t="s">
        <v>41</v>
      </c>
      <c r="M18" s="2" t="s">
        <v>42</v>
      </c>
      <c r="N18" s="2" t="s">
        <v>41</v>
      </c>
      <c r="O18" s="3">
        <v>1</v>
      </c>
      <c r="P18" s="2" t="s">
        <v>41</v>
      </c>
      <c r="Q18" s="2" t="s">
        <v>42</v>
      </c>
      <c r="R18" s="3"/>
      <c r="S18" s="3">
        <v>1</v>
      </c>
      <c r="T18" s="4">
        <f t="shared" si="0"/>
        <v>11</v>
      </c>
      <c r="U18" s="4">
        <f t="shared" si="1"/>
        <v>11</v>
      </c>
      <c r="V18" s="4">
        <f t="shared" si="2"/>
        <v>17</v>
      </c>
      <c r="W18" s="4">
        <f t="shared" si="3"/>
        <v>17</v>
      </c>
      <c r="X18" s="4">
        <f t="shared" si="4"/>
        <v>28</v>
      </c>
      <c r="Y18" s="4">
        <f t="shared" si="5"/>
        <v>70</v>
      </c>
    </row>
    <row r="19" spans="1:25" x14ac:dyDescent="0.25">
      <c r="A19">
        <v>19</v>
      </c>
      <c r="B19" s="1">
        <v>46233.755497685182</v>
      </c>
      <c r="C19" s="1">
        <v>46233.760393518518</v>
      </c>
      <c r="D19" t="s">
        <v>39</v>
      </c>
      <c r="F19" s="1"/>
      <c r="G19" s="3">
        <v>1</v>
      </c>
      <c r="H19" s="3">
        <v>1</v>
      </c>
      <c r="I19" s="3">
        <v>5</v>
      </c>
      <c r="J19" s="3">
        <v>5</v>
      </c>
      <c r="K19" s="3">
        <v>1</v>
      </c>
      <c r="L19" s="2" t="s">
        <v>41</v>
      </c>
      <c r="M19" s="2" t="s">
        <v>42</v>
      </c>
      <c r="N19" s="3">
        <v>5</v>
      </c>
      <c r="O19" s="3">
        <v>1</v>
      </c>
      <c r="P19" s="2" t="s">
        <v>41</v>
      </c>
      <c r="Q19" s="3">
        <v>1</v>
      </c>
      <c r="R19" s="3">
        <v>5</v>
      </c>
      <c r="S19" s="2" t="s">
        <v>42</v>
      </c>
      <c r="T19" s="4">
        <f t="shared" si="0"/>
        <v>18</v>
      </c>
      <c r="U19" s="4">
        <f t="shared" si="1"/>
        <v>18</v>
      </c>
      <c r="V19" s="4">
        <f t="shared" si="2"/>
        <v>18</v>
      </c>
      <c r="W19" s="4">
        <f t="shared" si="3"/>
        <v>18</v>
      </c>
      <c r="X19" s="4">
        <f t="shared" si="4"/>
        <v>36</v>
      </c>
      <c r="Y19" s="4">
        <f t="shared" si="5"/>
        <v>90</v>
      </c>
    </row>
    <row r="20" spans="1:25" x14ac:dyDescent="0.2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25" x14ac:dyDescent="0.25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5" x14ac:dyDescent="0.2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25" x14ac:dyDescent="0.2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5" x14ac:dyDescent="0.2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5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5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5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5" x14ac:dyDescent="0.2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5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5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5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5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7:26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7:26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7:26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7:26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7:26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7:26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7:26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7:26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5" spans="7:26" x14ac:dyDescent="0.25">
      <c r="X45" s="5"/>
      <c r="Y45" s="5"/>
      <c r="Z45" s="5"/>
    </row>
    <row r="46" spans="7:26" x14ac:dyDescent="0.25">
      <c r="X46" s="5"/>
      <c r="Y46" s="5">
        <f>AVERAGE(Y2:Y45)</f>
        <v>71.388888888888886</v>
      </c>
      <c r="Z46" s="5"/>
    </row>
    <row r="47" spans="7:26" x14ac:dyDescent="0.25">
      <c r="X47" s="5"/>
      <c r="Y47" s="5"/>
      <c r="Z4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"/>
  <sheetViews>
    <sheetView topLeftCell="Y1" workbookViewId="0">
      <selection activeCell="B27" sqref="B27"/>
    </sheetView>
  </sheetViews>
  <sheetFormatPr baseColWidth="10" defaultColWidth="9.140625" defaultRowHeight="15" x14ac:dyDescent="0.25"/>
  <cols>
    <col min="1" max="39" width="20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</v>
      </c>
      <c r="B2" s="1">
        <v>46219.572534722225</v>
      </c>
      <c r="C2" s="1">
        <v>46219.577465277776</v>
      </c>
      <c r="D2" t="s">
        <v>39</v>
      </c>
      <c r="F2" s="1"/>
      <c r="G2" s="2" t="s">
        <v>40</v>
      </c>
      <c r="H2" s="3">
        <v>1</v>
      </c>
      <c r="I2" s="2" t="s">
        <v>41</v>
      </c>
      <c r="J2" s="2" t="s">
        <v>41</v>
      </c>
      <c r="K2" s="2" t="s">
        <v>42</v>
      </c>
      <c r="L2" s="2" t="s">
        <v>41</v>
      </c>
      <c r="M2" s="3">
        <v>1</v>
      </c>
      <c r="N2" s="2" t="s">
        <v>41</v>
      </c>
      <c r="O2" s="3">
        <v>1</v>
      </c>
      <c r="P2" s="3">
        <v>5</v>
      </c>
      <c r="Q2" s="2" t="s">
        <v>42</v>
      </c>
      <c r="R2" s="2" t="s">
        <v>40</v>
      </c>
      <c r="S2" s="3">
        <v>1</v>
      </c>
      <c r="T2" s="2" t="s">
        <v>41</v>
      </c>
      <c r="U2" s="2" t="s">
        <v>42</v>
      </c>
      <c r="V2" s="2" t="s">
        <v>41</v>
      </c>
      <c r="W2" s="3">
        <v>1</v>
      </c>
      <c r="X2" s="2" t="s">
        <v>40</v>
      </c>
      <c r="Y2" s="2" t="s">
        <v>40</v>
      </c>
      <c r="Z2" s="3">
        <v>5</v>
      </c>
      <c r="AA2" s="2" t="s">
        <v>41</v>
      </c>
      <c r="AB2" s="2" t="s">
        <v>40</v>
      </c>
      <c r="AC2" s="3">
        <v>1</v>
      </c>
      <c r="AD2" s="2" t="s">
        <v>40</v>
      </c>
      <c r="AE2" s="2" t="s">
        <v>42</v>
      </c>
      <c r="AF2" s="2" t="s">
        <v>41</v>
      </c>
      <c r="AG2" s="3">
        <v>1</v>
      </c>
      <c r="AH2" s="2" t="s">
        <v>41</v>
      </c>
      <c r="AI2" s="3">
        <v>1</v>
      </c>
      <c r="AJ2" s="3">
        <v>5</v>
      </c>
      <c r="AK2" s="2" t="s">
        <v>42</v>
      </c>
      <c r="AL2" s="2" t="s">
        <v>41</v>
      </c>
      <c r="AM2" s="3">
        <v>1</v>
      </c>
    </row>
    <row r="3" spans="1:39" x14ac:dyDescent="0.25">
      <c r="A3">
        <v>3</v>
      </c>
      <c r="B3" s="1">
        <v>46219.598402777781</v>
      </c>
      <c r="C3" s="1">
        <v>46219.601493055554</v>
      </c>
      <c r="D3" t="s">
        <v>39</v>
      </c>
      <c r="F3" s="1"/>
      <c r="G3" s="2" t="s">
        <v>41</v>
      </c>
      <c r="H3" s="3">
        <v>1</v>
      </c>
      <c r="I3" s="3">
        <v>1</v>
      </c>
      <c r="J3" s="2" t="s">
        <v>41</v>
      </c>
      <c r="K3" s="2" t="s">
        <v>42</v>
      </c>
      <c r="L3" s="3">
        <v>5</v>
      </c>
      <c r="M3" s="2" t="s">
        <v>40</v>
      </c>
      <c r="N3" s="2" t="s">
        <v>41</v>
      </c>
      <c r="O3" s="2" t="s">
        <v>42</v>
      </c>
      <c r="P3" s="2" t="s">
        <v>41</v>
      </c>
      <c r="Q3" s="3">
        <v>1</v>
      </c>
      <c r="R3" s="2" t="s">
        <v>41</v>
      </c>
      <c r="S3" s="2" t="s">
        <v>40</v>
      </c>
      <c r="T3" s="2" t="s">
        <v>40</v>
      </c>
      <c r="U3" s="2" t="s">
        <v>40</v>
      </c>
      <c r="V3" s="2" t="s">
        <v>41</v>
      </c>
      <c r="W3" s="2" t="s">
        <v>41</v>
      </c>
      <c r="X3" s="2" t="s">
        <v>41</v>
      </c>
      <c r="Y3" s="2" t="s">
        <v>40</v>
      </c>
      <c r="Z3" s="2" t="s">
        <v>41</v>
      </c>
      <c r="AA3" s="2" t="s">
        <v>42</v>
      </c>
      <c r="AB3" s="2" t="s">
        <v>41</v>
      </c>
      <c r="AC3" s="2" t="s">
        <v>40</v>
      </c>
      <c r="AD3" s="2" t="s">
        <v>42</v>
      </c>
      <c r="AE3" s="2" t="s">
        <v>41</v>
      </c>
      <c r="AF3" s="2" t="s">
        <v>42</v>
      </c>
      <c r="AG3" s="3">
        <v>5</v>
      </c>
      <c r="AH3" s="2" t="s">
        <v>42</v>
      </c>
      <c r="AI3" s="2" t="s">
        <v>40</v>
      </c>
      <c r="AJ3" s="2" t="s">
        <v>42</v>
      </c>
      <c r="AK3" s="2" t="s">
        <v>42</v>
      </c>
      <c r="AL3" s="2" t="s">
        <v>40</v>
      </c>
      <c r="AM3" s="2" t="s">
        <v>40</v>
      </c>
    </row>
    <row r="4" spans="1:39" x14ac:dyDescent="0.25">
      <c r="A4">
        <v>4</v>
      </c>
      <c r="B4" s="1">
        <v>46219.620115740741</v>
      </c>
      <c r="C4" s="1">
        <v>46219.625497685185</v>
      </c>
      <c r="D4" t="s">
        <v>39</v>
      </c>
      <c r="F4" s="1"/>
      <c r="G4" s="3">
        <v>1</v>
      </c>
      <c r="H4" s="3">
        <v>1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2" t="s">
        <v>40</v>
      </c>
      <c r="Q4" s="3">
        <v>1</v>
      </c>
      <c r="R4" s="3">
        <v>5</v>
      </c>
      <c r="S4" s="3">
        <v>1</v>
      </c>
      <c r="T4" s="3">
        <v>5</v>
      </c>
      <c r="U4" s="3">
        <v>1</v>
      </c>
      <c r="V4" s="3">
        <v>5</v>
      </c>
      <c r="W4" s="3">
        <v>1</v>
      </c>
      <c r="X4" s="3">
        <v>5</v>
      </c>
      <c r="Y4" s="3">
        <v>1</v>
      </c>
      <c r="Z4" s="2" t="s">
        <v>40</v>
      </c>
      <c r="AA4" s="3">
        <v>1</v>
      </c>
      <c r="AB4" s="3">
        <v>5</v>
      </c>
      <c r="AC4" s="3">
        <v>1</v>
      </c>
      <c r="AD4" s="3">
        <v>5</v>
      </c>
      <c r="AE4" s="3">
        <v>1</v>
      </c>
      <c r="AF4" s="3">
        <v>5</v>
      </c>
      <c r="AG4" s="3">
        <v>1</v>
      </c>
      <c r="AH4" s="3">
        <v>5</v>
      </c>
      <c r="AI4" s="3">
        <v>1</v>
      </c>
      <c r="AJ4" s="2" t="s">
        <v>40</v>
      </c>
      <c r="AK4" s="3">
        <v>1</v>
      </c>
      <c r="AL4" s="3">
        <v>5</v>
      </c>
      <c r="AM4" s="3">
        <v>1</v>
      </c>
    </row>
    <row r="5" spans="1:39" x14ac:dyDescent="0.25">
      <c r="A5">
        <v>5</v>
      </c>
      <c r="B5" s="1">
        <v>46219.626435185186</v>
      </c>
      <c r="C5" s="1">
        <v>46219.645798611113</v>
      </c>
      <c r="D5" t="s">
        <v>39</v>
      </c>
      <c r="F5" s="1"/>
      <c r="G5" s="3">
        <v>5</v>
      </c>
      <c r="H5" s="2" t="s">
        <v>41</v>
      </c>
      <c r="I5" s="3">
        <v>1</v>
      </c>
      <c r="J5" s="3">
        <v>5</v>
      </c>
      <c r="K5" s="3">
        <v>1</v>
      </c>
      <c r="L5" s="3">
        <v>5</v>
      </c>
      <c r="M5" s="3">
        <v>1</v>
      </c>
      <c r="N5" s="2" t="s">
        <v>41</v>
      </c>
      <c r="O5" s="3">
        <v>1</v>
      </c>
      <c r="P5" s="3">
        <v>5</v>
      </c>
      <c r="Q5" s="3">
        <v>1</v>
      </c>
      <c r="R5" s="3">
        <v>5</v>
      </c>
      <c r="S5" s="2" t="s">
        <v>40</v>
      </c>
      <c r="T5" s="3">
        <v>5</v>
      </c>
      <c r="U5" s="2" t="s">
        <v>42</v>
      </c>
      <c r="V5" s="2" t="s">
        <v>41</v>
      </c>
      <c r="W5" s="2" t="s">
        <v>42</v>
      </c>
      <c r="X5" s="2" t="s">
        <v>40</v>
      </c>
      <c r="Y5" s="3">
        <v>1</v>
      </c>
      <c r="Z5" s="2" t="s">
        <v>41</v>
      </c>
      <c r="AA5" s="2" t="s">
        <v>42</v>
      </c>
      <c r="AB5" s="2" t="s">
        <v>41</v>
      </c>
      <c r="AC5" s="2" t="s">
        <v>40</v>
      </c>
      <c r="AD5" s="3">
        <v>5</v>
      </c>
      <c r="AE5" s="3">
        <v>1</v>
      </c>
      <c r="AF5" s="3">
        <v>5</v>
      </c>
      <c r="AG5" s="2" t="s">
        <v>40</v>
      </c>
      <c r="AH5" s="3">
        <v>5</v>
      </c>
      <c r="AI5" s="3">
        <v>1</v>
      </c>
      <c r="AJ5" s="2" t="s">
        <v>40</v>
      </c>
      <c r="AK5" s="3">
        <v>1</v>
      </c>
      <c r="AL5" s="2" t="s">
        <v>40</v>
      </c>
      <c r="AM5" s="2" t="s">
        <v>40</v>
      </c>
    </row>
    <row r="6" spans="1:39" x14ac:dyDescent="0.25">
      <c r="A6">
        <v>6</v>
      </c>
      <c r="B6" s="1">
        <v>46219.64947916667</v>
      </c>
      <c r="C6" s="1">
        <v>46219.659548611111</v>
      </c>
      <c r="D6" t="s">
        <v>39</v>
      </c>
      <c r="F6" s="1"/>
      <c r="G6" s="2" t="s">
        <v>40</v>
      </c>
      <c r="H6" s="2" t="s">
        <v>42</v>
      </c>
      <c r="I6" s="3">
        <v>1</v>
      </c>
      <c r="J6" s="3">
        <v>5</v>
      </c>
      <c r="K6" s="2" t="s">
        <v>42</v>
      </c>
      <c r="L6" s="2" t="s">
        <v>41</v>
      </c>
      <c r="M6" s="3">
        <v>1</v>
      </c>
      <c r="N6" s="2" t="s">
        <v>40</v>
      </c>
      <c r="O6" s="2" t="s">
        <v>42</v>
      </c>
      <c r="P6" s="2" t="s">
        <v>40</v>
      </c>
      <c r="Q6" s="2" t="s">
        <v>42</v>
      </c>
      <c r="R6" s="2" t="s">
        <v>41</v>
      </c>
      <c r="S6" s="3">
        <v>1</v>
      </c>
      <c r="T6" s="2" t="s">
        <v>41</v>
      </c>
      <c r="U6" s="2" t="s">
        <v>40</v>
      </c>
      <c r="V6" s="2" t="s">
        <v>40</v>
      </c>
      <c r="W6" s="2" t="s">
        <v>41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42</v>
      </c>
      <c r="AC6" s="2" t="s">
        <v>41</v>
      </c>
      <c r="AD6" s="3">
        <v>5</v>
      </c>
      <c r="AE6" s="2" t="s">
        <v>42</v>
      </c>
      <c r="AF6" s="3">
        <v>5</v>
      </c>
      <c r="AG6" s="2" t="s">
        <v>42</v>
      </c>
      <c r="AH6" s="3">
        <v>5</v>
      </c>
      <c r="AI6" s="3">
        <v>1</v>
      </c>
      <c r="AJ6" s="3">
        <v>5</v>
      </c>
      <c r="AK6" s="3">
        <v>1</v>
      </c>
      <c r="AL6" s="2" t="s">
        <v>41</v>
      </c>
      <c r="AM6" s="2" t="s">
        <v>42</v>
      </c>
    </row>
    <row r="7" spans="1:39" x14ac:dyDescent="0.25">
      <c r="A7">
        <v>7</v>
      </c>
      <c r="B7" s="1">
        <v>46219.660162037035</v>
      </c>
      <c r="C7" s="1">
        <v>46219.677939814814</v>
      </c>
      <c r="D7" t="s">
        <v>39</v>
      </c>
      <c r="F7" s="1"/>
      <c r="G7" s="3">
        <v>1</v>
      </c>
      <c r="H7" s="3">
        <v>1</v>
      </c>
      <c r="I7" s="3">
        <v>1</v>
      </c>
      <c r="J7" s="2" t="s">
        <v>41</v>
      </c>
      <c r="K7" s="2" t="s">
        <v>42</v>
      </c>
      <c r="L7" s="2" t="s">
        <v>40</v>
      </c>
      <c r="M7" s="2" t="s">
        <v>40</v>
      </c>
      <c r="N7" s="2" t="s">
        <v>41</v>
      </c>
      <c r="O7" s="2" t="s">
        <v>42</v>
      </c>
      <c r="P7" s="2" t="s">
        <v>40</v>
      </c>
      <c r="Q7" s="2" t="s">
        <v>42</v>
      </c>
      <c r="R7" s="2" t="s">
        <v>40</v>
      </c>
      <c r="S7" s="2" t="s">
        <v>40</v>
      </c>
      <c r="T7" s="2" t="s">
        <v>42</v>
      </c>
      <c r="U7" s="3">
        <v>5</v>
      </c>
      <c r="V7" s="2" t="s">
        <v>42</v>
      </c>
      <c r="W7" s="3">
        <v>5</v>
      </c>
      <c r="X7" s="2" t="s">
        <v>40</v>
      </c>
      <c r="Y7" s="2" t="s">
        <v>41</v>
      </c>
      <c r="Z7" s="3">
        <v>1</v>
      </c>
      <c r="AA7" s="3">
        <v>5</v>
      </c>
      <c r="AB7" s="2" t="s">
        <v>42</v>
      </c>
      <c r="AC7" s="3">
        <v>5</v>
      </c>
      <c r="AD7" s="3">
        <v>5</v>
      </c>
      <c r="AE7" s="2" t="s">
        <v>42</v>
      </c>
      <c r="AF7" s="2" t="s">
        <v>41</v>
      </c>
      <c r="AG7" s="2" t="s">
        <v>42</v>
      </c>
      <c r="AH7" s="2" t="s">
        <v>41</v>
      </c>
      <c r="AI7" s="2" t="s">
        <v>42</v>
      </c>
      <c r="AJ7" s="2" t="s">
        <v>41</v>
      </c>
      <c r="AK7" s="2" t="s">
        <v>42</v>
      </c>
      <c r="AL7" s="2" t="s">
        <v>41</v>
      </c>
      <c r="AM7" s="2" t="s">
        <v>42</v>
      </c>
    </row>
    <row r="8" spans="1:39" x14ac:dyDescent="0.25">
      <c r="A8">
        <v>8</v>
      </c>
      <c r="B8" s="1">
        <v>46229.487164351849</v>
      </c>
      <c r="C8" s="1">
        <v>46229.488344907404</v>
      </c>
      <c r="D8" t="s">
        <v>39</v>
      </c>
      <c r="F8" s="1"/>
      <c r="G8" s="3">
        <v>5</v>
      </c>
      <c r="H8" s="3">
        <v>1</v>
      </c>
      <c r="I8" s="3">
        <v>1</v>
      </c>
      <c r="J8" s="2" t="s">
        <v>41</v>
      </c>
      <c r="K8" s="2" t="s">
        <v>42</v>
      </c>
      <c r="L8" s="2" t="s">
        <v>41</v>
      </c>
      <c r="M8" s="3">
        <v>1</v>
      </c>
      <c r="N8" s="2" t="s">
        <v>40</v>
      </c>
      <c r="O8" s="2" t="s">
        <v>42</v>
      </c>
      <c r="P8" s="2" t="s">
        <v>41</v>
      </c>
      <c r="Q8" s="3">
        <v>1</v>
      </c>
      <c r="R8" s="2" t="s">
        <v>41</v>
      </c>
      <c r="S8" s="3">
        <v>1</v>
      </c>
      <c r="T8" s="2" t="s">
        <v>41</v>
      </c>
      <c r="U8" s="2" t="s">
        <v>42</v>
      </c>
      <c r="V8" s="2" t="s">
        <v>41</v>
      </c>
      <c r="W8" s="2" t="s">
        <v>42</v>
      </c>
      <c r="X8" s="2" t="s">
        <v>41</v>
      </c>
      <c r="Y8" s="2" t="s">
        <v>42</v>
      </c>
      <c r="Z8" s="2" t="s">
        <v>41</v>
      </c>
      <c r="AA8" s="3">
        <v>1</v>
      </c>
      <c r="AB8" s="2" t="s">
        <v>40</v>
      </c>
      <c r="AC8" s="2" t="s">
        <v>42</v>
      </c>
      <c r="AD8" s="2" t="s">
        <v>40</v>
      </c>
      <c r="AE8" s="2" t="s">
        <v>42</v>
      </c>
      <c r="AF8" s="2" t="s">
        <v>40</v>
      </c>
      <c r="AG8" s="2" t="s">
        <v>42</v>
      </c>
      <c r="AH8" s="2" t="s">
        <v>40</v>
      </c>
      <c r="AI8" s="2" t="s">
        <v>40</v>
      </c>
      <c r="AJ8" s="2" t="s">
        <v>42</v>
      </c>
      <c r="AK8" s="2" t="s">
        <v>42</v>
      </c>
      <c r="AL8" s="2" t="s">
        <v>40</v>
      </c>
      <c r="AM8" s="2" t="s">
        <v>42</v>
      </c>
    </row>
    <row r="9" spans="1:39" x14ac:dyDescent="0.25">
      <c r="A9">
        <v>9</v>
      </c>
      <c r="B9" s="1">
        <v>46233.579699074071</v>
      </c>
      <c r="C9" s="1">
        <v>46233.58184027778</v>
      </c>
      <c r="D9" t="s">
        <v>39</v>
      </c>
      <c r="F9" s="1"/>
      <c r="G9" s="2" t="s">
        <v>42</v>
      </c>
      <c r="H9" s="3">
        <v>1</v>
      </c>
      <c r="I9" s="3">
        <v>1</v>
      </c>
      <c r="J9" s="2" t="s">
        <v>41</v>
      </c>
      <c r="K9" s="3">
        <v>1</v>
      </c>
      <c r="L9" s="3">
        <v>5</v>
      </c>
      <c r="M9" s="3">
        <v>1</v>
      </c>
      <c r="N9" s="2" t="s">
        <v>41</v>
      </c>
      <c r="O9" s="3">
        <v>1</v>
      </c>
      <c r="P9" s="2" t="s">
        <v>41</v>
      </c>
      <c r="Q9" s="3">
        <v>1</v>
      </c>
      <c r="R9" s="2" t="s">
        <v>41</v>
      </c>
      <c r="S9" s="3">
        <v>1</v>
      </c>
      <c r="T9" s="2" t="s">
        <v>40</v>
      </c>
      <c r="U9" s="3">
        <v>1</v>
      </c>
      <c r="V9" s="2" t="s">
        <v>41</v>
      </c>
      <c r="W9" s="3">
        <v>1</v>
      </c>
      <c r="X9" s="3">
        <v>5</v>
      </c>
      <c r="Y9" s="2" t="s">
        <v>42</v>
      </c>
      <c r="Z9" s="2" t="s">
        <v>40</v>
      </c>
      <c r="AA9" s="2" t="s">
        <v>42</v>
      </c>
      <c r="AB9" s="2" t="s">
        <v>41</v>
      </c>
      <c r="AC9" s="3">
        <v>1</v>
      </c>
      <c r="AD9" s="2" t="s">
        <v>40</v>
      </c>
      <c r="AE9" s="2" t="s">
        <v>42</v>
      </c>
      <c r="AF9" s="2" t="s">
        <v>40</v>
      </c>
      <c r="AG9" s="3">
        <v>1</v>
      </c>
      <c r="AH9" s="2" t="s">
        <v>41</v>
      </c>
      <c r="AI9" s="2" t="s">
        <v>40</v>
      </c>
      <c r="AJ9" s="2" t="s">
        <v>42</v>
      </c>
      <c r="AK9" s="2" t="s">
        <v>40</v>
      </c>
      <c r="AL9" s="2" t="s">
        <v>40</v>
      </c>
      <c r="AM9" s="2" t="s">
        <v>42</v>
      </c>
    </row>
    <row r="10" spans="1:39" x14ac:dyDescent="0.25">
      <c r="A10">
        <v>10</v>
      </c>
      <c r="B10" s="1">
        <v>46233.593356481484</v>
      </c>
      <c r="C10" s="1">
        <v>46233.59547453704</v>
      </c>
      <c r="D10" t="s">
        <v>39</v>
      </c>
      <c r="F10" s="1"/>
      <c r="G10" s="2" t="s">
        <v>42</v>
      </c>
      <c r="H10" s="3">
        <v>1</v>
      </c>
      <c r="I10" s="2" t="s">
        <v>42</v>
      </c>
      <c r="J10" s="2" t="s">
        <v>40</v>
      </c>
      <c r="K10" s="3">
        <v>1</v>
      </c>
      <c r="L10" s="2" t="s">
        <v>41</v>
      </c>
      <c r="M10" s="2" t="s">
        <v>41</v>
      </c>
      <c r="N10" s="2" t="s">
        <v>41</v>
      </c>
      <c r="O10" s="2" t="s">
        <v>42</v>
      </c>
      <c r="P10" s="2" t="s">
        <v>40</v>
      </c>
      <c r="Q10" s="3">
        <v>1</v>
      </c>
      <c r="R10" s="2" t="s">
        <v>40</v>
      </c>
      <c r="S10" s="2" t="s">
        <v>41</v>
      </c>
      <c r="T10" s="2" t="s">
        <v>40</v>
      </c>
      <c r="U10" s="2" t="s">
        <v>42</v>
      </c>
      <c r="V10" s="2" t="s">
        <v>41</v>
      </c>
      <c r="W10" s="2" t="s">
        <v>41</v>
      </c>
      <c r="X10" s="2" t="s">
        <v>41</v>
      </c>
      <c r="Y10" s="2" t="s">
        <v>42</v>
      </c>
      <c r="Z10" s="2" t="s">
        <v>40</v>
      </c>
      <c r="AA10" s="2" t="s">
        <v>42</v>
      </c>
      <c r="AB10" s="2" t="s">
        <v>41</v>
      </c>
      <c r="AC10" s="2" t="s">
        <v>42</v>
      </c>
      <c r="AD10" s="2" t="s">
        <v>41</v>
      </c>
      <c r="AE10" s="3">
        <v>1</v>
      </c>
      <c r="AF10" s="2" t="s">
        <v>41</v>
      </c>
      <c r="AG10" s="2" t="s">
        <v>41</v>
      </c>
      <c r="AH10" s="2" t="s">
        <v>41</v>
      </c>
      <c r="AI10" s="3">
        <v>1</v>
      </c>
      <c r="AJ10" s="2" t="s">
        <v>40</v>
      </c>
      <c r="AK10" s="3">
        <v>1</v>
      </c>
      <c r="AL10" s="2" t="s">
        <v>41</v>
      </c>
      <c r="AM10" s="2" t="s">
        <v>41</v>
      </c>
    </row>
    <row r="11" spans="1:39" x14ac:dyDescent="0.25">
      <c r="A11">
        <v>11</v>
      </c>
      <c r="B11" s="1">
        <v>46233.60765046296</v>
      </c>
      <c r="C11" s="1">
        <v>46233.610775462963</v>
      </c>
      <c r="D11" t="s">
        <v>39</v>
      </c>
      <c r="F11" s="1"/>
      <c r="G11" s="2" t="s">
        <v>42</v>
      </c>
      <c r="H11" s="3">
        <v>1</v>
      </c>
      <c r="I11" s="3">
        <v>1</v>
      </c>
      <c r="J11" s="2" t="s">
        <v>41</v>
      </c>
      <c r="K11" s="2" t="s">
        <v>40</v>
      </c>
      <c r="L11" s="2" t="s">
        <v>42</v>
      </c>
      <c r="M11" s="2" t="s">
        <v>41</v>
      </c>
      <c r="N11" s="2" t="s">
        <v>42</v>
      </c>
      <c r="O11" s="2" t="s">
        <v>40</v>
      </c>
      <c r="P11" s="3">
        <v>1</v>
      </c>
      <c r="Q11" s="3">
        <v>5</v>
      </c>
      <c r="R11" s="2" t="s">
        <v>42</v>
      </c>
      <c r="S11" s="3">
        <v>5</v>
      </c>
      <c r="T11" s="2" t="s">
        <v>41</v>
      </c>
      <c r="U11" s="2" t="s">
        <v>42</v>
      </c>
      <c r="V11" s="3">
        <v>5</v>
      </c>
      <c r="W11" s="2" t="s">
        <v>40</v>
      </c>
      <c r="X11" s="2" t="s">
        <v>41</v>
      </c>
      <c r="Y11" s="2" t="s">
        <v>40</v>
      </c>
      <c r="Z11" s="2" t="s">
        <v>41</v>
      </c>
      <c r="AA11" s="2" t="s">
        <v>42</v>
      </c>
      <c r="AB11" s="2" t="s">
        <v>41</v>
      </c>
      <c r="AC11" s="2" t="s">
        <v>42</v>
      </c>
      <c r="AD11" s="2" t="s">
        <v>42</v>
      </c>
      <c r="AE11" s="2" t="s">
        <v>41</v>
      </c>
      <c r="AF11" s="2" t="s">
        <v>42</v>
      </c>
      <c r="AG11" s="2" t="s">
        <v>41</v>
      </c>
      <c r="AH11" s="2" t="s">
        <v>42</v>
      </c>
      <c r="AI11" s="2" t="s">
        <v>40</v>
      </c>
      <c r="AJ11" s="2" t="s">
        <v>42</v>
      </c>
      <c r="AK11" s="2" t="s">
        <v>41</v>
      </c>
      <c r="AL11" s="2" t="s">
        <v>42</v>
      </c>
      <c r="AM11" s="2" t="s">
        <v>41</v>
      </c>
    </row>
    <row r="12" spans="1:39" x14ac:dyDescent="0.25">
      <c r="A12">
        <v>12</v>
      </c>
      <c r="B12" s="1">
        <v>46233.625034722223</v>
      </c>
      <c r="C12" s="1">
        <v>46233.630439814813</v>
      </c>
      <c r="D12" t="s">
        <v>39</v>
      </c>
      <c r="F12" s="1"/>
      <c r="G12" s="3">
        <v>1</v>
      </c>
      <c r="H12" s="3">
        <v>1</v>
      </c>
      <c r="I12" s="2" t="s">
        <v>42</v>
      </c>
      <c r="J12" s="2" t="s">
        <v>41</v>
      </c>
      <c r="K12" s="2" t="s">
        <v>42</v>
      </c>
      <c r="L12" s="2" t="s">
        <v>41</v>
      </c>
      <c r="M12" s="2" t="s">
        <v>41</v>
      </c>
      <c r="N12" s="2" t="s">
        <v>41</v>
      </c>
      <c r="O12" s="2" t="s">
        <v>42</v>
      </c>
      <c r="P12" s="2" t="s">
        <v>41</v>
      </c>
      <c r="Q12" s="2" t="s">
        <v>42</v>
      </c>
      <c r="R12" s="2" t="s">
        <v>40</v>
      </c>
      <c r="S12" s="2" t="s">
        <v>40</v>
      </c>
      <c r="T12" s="3">
        <v>5</v>
      </c>
      <c r="U12" s="2" t="s">
        <v>42</v>
      </c>
      <c r="V12" s="2" t="s">
        <v>41</v>
      </c>
      <c r="W12" s="2" t="s">
        <v>40</v>
      </c>
      <c r="X12" s="2" t="s">
        <v>41</v>
      </c>
      <c r="Y12" s="3">
        <v>1</v>
      </c>
      <c r="Z12" s="2" t="s">
        <v>41</v>
      </c>
      <c r="AA12" s="2" t="s">
        <v>42</v>
      </c>
      <c r="AB12" s="2" t="s">
        <v>40</v>
      </c>
      <c r="AC12" s="2" t="s">
        <v>40</v>
      </c>
      <c r="AD12" s="2" t="s">
        <v>42</v>
      </c>
      <c r="AE12" s="2" t="s">
        <v>42</v>
      </c>
      <c r="AF12" s="2" t="s">
        <v>40</v>
      </c>
      <c r="AG12" s="2" t="s">
        <v>40</v>
      </c>
      <c r="AH12" s="2" t="s">
        <v>40</v>
      </c>
      <c r="AI12" s="2" t="s">
        <v>41</v>
      </c>
      <c r="AJ12" s="2" t="s">
        <v>41</v>
      </c>
      <c r="AK12" s="2" t="s">
        <v>40</v>
      </c>
      <c r="AL12" s="2" t="s">
        <v>40</v>
      </c>
      <c r="AM12" s="2" t="s">
        <v>40</v>
      </c>
    </row>
    <row r="13" spans="1:39" x14ac:dyDescent="0.25">
      <c r="A13">
        <v>13</v>
      </c>
      <c r="B13" s="1">
        <v>46233.642847222225</v>
      </c>
      <c r="C13" s="1">
        <v>46233.648206018515</v>
      </c>
      <c r="D13" t="s">
        <v>39</v>
      </c>
      <c r="F13" s="1"/>
      <c r="G13" s="2" t="s">
        <v>42</v>
      </c>
      <c r="H13" s="3">
        <v>1</v>
      </c>
      <c r="I13" s="2" t="s">
        <v>41</v>
      </c>
      <c r="J13" s="2" t="s">
        <v>41</v>
      </c>
      <c r="K13" s="2" t="s">
        <v>42</v>
      </c>
      <c r="L13" s="3">
        <v>5</v>
      </c>
      <c r="M13" s="3">
        <v>1</v>
      </c>
      <c r="N13" s="2" t="s">
        <v>40</v>
      </c>
      <c r="O13" s="2" t="s">
        <v>42</v>
      </c>
      <c r="P13" s="2" t="s">
        <v>40</v>
      </c>
      <c r="Q13" s="2" t="s">
        <v>42</v>
      </c>
      <c r="R13" s="2" t="s">
        <v>41</v>
      </c>
      <c r="S13" s="3">
        <v>1</v>
      </c>
      <c r="T13" s="2" t="s">
        <v>42</v>
      </c>
      <c r="U13" s="2" t="s">
        <v>42</v>
      </c>
      <c r="V13" s="2" t="s">
        <v>41</v>
      </c>
      <c r="W13" s="3">
        <v>1</v>
      </c>
      <c r="X13" s="2" t="s">
        <v>42</v>
      </c>
      <c r="Y13" s="2" t="s">
        <v>40</v>
      </c>
      <c r="Z13" s="2" t="s">
        <v>40</v>
      </c>
      <c r="AA13" s="2" t="s">
        <v>41</v>
      </c>
      <c r="AB13" s="2" t="s">
        <v>41</v>
      </c>
      <c r="AC13" s="3">
        <v>1</v>
      </c>
      <c r="AD13" s="2" t="s">
        <v>41</v>
      </c>
      <c r="AE13" s="2" t="s">
        <v>40</v>
      </c>
      <c r="AF13" s="2" t="s">
        <v>41</v>
      </c>
      <c r="AG13" s="3">
        <v>1</v>
      </c>
      <c r="AH13" s="2" t="s">
        <v>41</v>
      </c>
      <c r="AI13" s="2" t="s">
        <v>42</v>
      </c>
      <c r="AJ13" s="3">
        <v>5</v>
      </c>
      <c r="AK13" s="2" t="s">
        <v>42</v>
      </c>
      <c r="AL13" s="2" t="s">
        <v>41</v>
      </c>
      <c r="AM13" s="3">
        <v>1</v>
      </c>
    </row>
    <row r="14" spans="1:39" x14ac:dyDescent="0.25">
      <c r="A14">
        <v>14</v>
      </c>
      <c r="B14" s="1">
        <v>46233.659247685187</v>
      </c>
      <c r="C14" s="1">
        <v>46233.662164351852</v>
      </c>
      <c r="D14" t="s">
        <v>39</v>
      </c>
      <c r="F14" s="1"/>
      <c r="G14" s="2" t="s">
        <v>40</v>
      </c>
      <c r="H14" s="3">
        <v>1</v>
      </c>
      <c r="I14" s="2" t="s">
        <v>42</v>
      </c>
      <c r="J14" s="2" t="s">
        <v>40</v>
      </c>
      <c r="K14" s="2" t="s">
        <v>42</v>
      </c>
      <c r="L14" s="2" t="s">
        <v>41</v>
      </c>
      <c r="M14" s="2" t="s">
        <v>42</v>
      </c>
      <c r="N14" s="2" t="s">
        <v>40</v>
      </c>
      <c r="O14" s="2" t="s">
        <v>42</v>
      </c>
      <c r="P14" s="2" t="s">
        <v>41</v>
      </c>
      <c r="Q14" s="2" t="s">
        <v>42</v>
      </c>
      <c r="R14" s="2" t="s">
        <v>41</v>
      </c>
      <c r="S14" s="2" t="s">
        <v>42</v>
      </c>
      <c r="T14" s="2" t="s">
        <v>40</v>
      </c>
      <c r="U14" s="2" t="s">
        <v>42</v>
      </c>
      <c r="V14" s="2" t="s">
        <v>40</v>
      </c>
      <c r="W14" s="2" t="s">
        <v>42</v>
      </c>
      <c r="X14" s="2" t="s">
        <v>41</v>
      </c>
      <c r="Y14" s="2" t="s">
        <v>42</v>
      </c>
      <c r="Z14" s="2" t="s">
        <v>41</v>
      </c>
      <c r="AA14" s="2" t="s">
        <v>42</v>
      </c>
      <c r="AB14" s="2" t="s">
        <v>40</v>
      </c>
      <c r="AC14" s="2" t="s">
        <v>42</v>
      </c>
      <c r="AD14" s="2" t="s">
        <v>40</v>
      </c>
      <c r="AE14" s="2" t="s">
        <v>42</v>
      </c>
      <c r="AF14" s="2" t="s">
        <v>40</v>
      </c>
      <c r="AG14" s="2" t="s">
        <v>42</v>
      </c>
      <c r="AH14" s="2" t="s">
        <v>40</v>
      </c>
      <c r="AI14" s="2" t="s">
        <v>42</v>
      </c>
      <c r="AJ14" s="2" t="s">
        <v>41</v>
      </c>
      <c r="AK14" s="2" t="s">
        <v>42</v>
      </c>
      <c r="AL14" s="2" t="s">
        <v>40</v>
      </c>
      <c r="AM14" s="2" t="s">
        <v>42</v>
      </c>
    </row>
    <row r="15" spans="1:39" x14ac:dyDescent="0.25">
      <c r="A15">
        <v>15</v>
      </c>
      <c r="B15" s="1">
        <v>46233.676921296297</v>
      </c>
      <c r="C15" s="1">
        <v>46233.679583333331</v>
      </c>
      <c r="D15" t="s">
        <v>39</v>
      </c>
      <c r="F15" s="1"/>
      <c r="G15" s="3">
        <v>1</v>
      </c>
      <c r="H15" s="3">
        <v>1</v>
      </c>
      <c r="I15" s="3">
        <v>5</v>
      </c>
      <c r="J15" s="2" t="s">
        <v>41</v>
      </c>
      <c r="K15" s="3">
        <v>1</v>
      </c>
      <c r="L15" s="3">
        <v>5</v>
      </c>
      <c r="M15" s="3">
        <v>1</v>
      </c>
      <c r="N15" s="2" t="s">
        <v>41</v>
      </c>
      <c r="O15" s="3">
        <v>1</v>
      </c>
      <c r="P15" s="2" t="s">
        <v>41</v>
      </c>
      <c r="Q15" s="3">
        <v>1</v>
      </c>
      <c r="R15" s="3">
        <v>5</v>
      </c>
      <c r="S15" s="3">
        <v>1</v>
      </c>
      <c r="T15" s="2" t="s">
        <v>42</v>
      </c>
      <c r="U15" s="2" t="s">
        <v>42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40</v>
      </c>
      <c r="AA15" s="2" t="s">
        <v>40</v>
      </c>
      <c r="AB15" s="2" t="s">
        <v>41</v>
      </c>
      <c r="AC15" s="2" t="s">
        <v>42</v>
      </c>
      <c r="AD15" s="3">
        <v>5</v>
      </c>
      <c r="AE15" s="2" t="s">
        <v>42</v>
      </c>
      <c r="AF15" s="3">
        <v>5</v>
      </c>
      <c r="AG15" s="2" t="s">
        <v>42</v>
      </c>
      <c r="AH15" s="2" t="s">
        <v>41</v>
      </c>
      <c r="AI15" s="3">
        <v>1</v>
      </c>
      <c r="AJ15" s="2" t="s">
        <v>40</v>
      </c>
      <c r="AK15" s="3">
        <v>1</v>
      </c>
      <c r="AL15" s="3">
        <v>5</v>
      </c>
      <c r="AM15" s="2" t="s">
        <v>40</v>
      </c>
    </row>
    <row r="16" spans="1:39" x14ac:dyDescent="0.25">
      <c r="A16">
        <v>16</v>
      </c>
      <c r="B16" s="1">
        <v>46233.694131944445</v>
      </c>
      <c r="C16" s="1">
        <v>46233.706712962965</v>
      </c>
      <c r="D16" t="s">
        <v>39</v>
      </c>
      <c r="F16" s="1"/>
      <c r="G16" s="3">
        <v>1</v>
      </c>
      <c r="H16" s="3">
        <v>1</v>
      </c>
      <c r="I16" s="2" t="s">
        <v>42</v>
      </c>
      <c r="J16" s="3">
        <v>5</v>
      </c>
      <c r="K16" s="3">
        <v>1</v>
      </c>
      <c r="L16" s="3">
        <v>5</v>
      </c>
      <c r="M16" s="3">
        <v>1</v>
      </c>
      <c r="N16" s="2" t="s">
        <v>41</v>
      </c>
      <c r="O16" s="3">
        <v>1</v>
      </c>
      <c r="P16" s="2" t="s">
        <v>41</v>
      </c>
      <c r="Q16" s="2" t="s">
        <v>42</v>
      </c>
      <c r="R16" s="3">
        <v>5</v>
      </c>
      <c r="S16" s="3">
        <v>1</v>
      </c>
      <c r="T16" s="3">
        <v>5</v>
      </c>
      <c r="U16" s="3">
        <v>1</v>
      </c>
      <c r="V16" s="3">
        <v>5</v>
      </c>
      <c r="W16" s="3">
        <v>1</v>
      </c>
      <c r="X16" s="2" t="s">
        <v>41</v>
      </c>
      <c r="Y16" s="3">
        <v>1</v>
      </c>
      <c r="Z16" s="3">
        <v>5</v>
      </c>
      <c r="AA16" s="3">
        <v>1</v>
      </c>
      <c r="AB16" s="3">
        <v>5</v>
      </c>
      <c r="AC16" s="3">
        <v>1</v>
      </c>
      <c r="AD16" s="3">
        <v>5</v>
      </c>
      <c r="AE16" s="3">
        <v>1</v>
      </c>
      <c r="AF16" s="3">
        <v>5</v>
      </c>
      <c r="AG16" s="3">
        <v>1</v>
      </c>
      <c r="AH16" s="3">
        <v>5</v>
      </c>
      <c r="AI16" s="3">
        <v>1</v>
      </c>
      <c r="AJ16" s="3">
        <v>5</v>
      </c>
      <c r="AK16" s="2" t="s">
        <v>42</v>
      </c>
      <c r="AL16" s="3">
        <v>5</v>
      </c>
      <c r="AM16" s="2" t="s">
        <v>41</v>
      </c>
    </row>
    <row r="17" spans="1:39" x14ac:dyDescent="0.25">
      <c r="A17">
        <v>17</v>
      </c>
      <c r="B17" s="1">
        <v>46233.716504629629</v>
      </c>
      <c r="C17" s="1">
        <v>46233.72152777778</v>
      </c>
      <c r="D17" t="s">
        <v>39</v>
      </c>
      <c r="F17" s="1"/>
      <c r="G17" s="2" t="s">
        <v>41</v>
      </c>
      <c r="H17" s="3">
        <v>1</v>
      </c>
      <c r="I17" s="2" t="s">
        <v>40</v>
      </c>
      <c r="J17" s="3">
        <v>5</v>
      </c>
      <c r="K17" s="3">
        <v>1</v>
      </c>
      <c r="L17" s="2" t="s">
        <v>41</v>
      </c>
      <c r="M17" s="2" t="s">
        <v>40</v>
      </c>
      <c r="N17" s="2" t="s">
        <v>41</v>
      </c>
      <c r="O17" s="3">
        <v>1</v>
      </c>
      <c r="P17" s="2" t="s">
        <v>41</v>
      </c>
      <c r="Q17" s="3">
        <v>1</v>
      </c>
      <c r="R17" s="3">
        <v>5</v>
      </c>
      <c r="S17" s="2" t="s">
        <v>42</v>
      </c>
      <c r="T17" s="2" t="s">
        <v>41</v>
      </c>
      <c r="U17" s="2" t="s">
        <v>42</v>
      </c>
      <c r="V17" s="2" t="s">
        <v>41</v>
      </c>
      <c r="W17" s="2" t="s">
        <v>40</v>
      </c>
      <c r="X17" s="2" t="s">
        <v>41</v>
      </c>
      <c r="Y17" s="2" t="s">
        <v>42</v>
      </c>
      <c r="Z17" s="2" t="s">
        <v>41</v>
      </c>
      <c r="AA17" s="2" t="s">
        <v>42</v>
      </c>
      <c r="AB17" s="2" t="s">
        <v>41</v>
      </c>
      <c r="AC17" s="2" t="s">
        <v>42</v>
      </c>
      <c r="AD17" s="2" t="s">
        <v>41</v>
      </c>
      <c r="AE17" s="3">
        <v>1</v>
      </c>
      <c r="AF17" s="2" t="s">
        <v>41</v>
      </c>
      <c r="AG17" s="2" t="s">
        <v>42</v>
      </c>
      <c r="AH17" s="2" t="s">
        <v>41</v>
      </c>
      <c r="AI17" s="3">
        <v>1</v>
      </c>
      <c r="AJ17" s="2" t="s">
        <v>41</v>
      </c>
      <c r="AK17" s="3">
        <v>1</v>
      </c>
      <c r="AL17" s="2" t="s">
        <v>41</v>
      </c>
      <c r="AM17" s="2" t="s">
        <v>42</v>
      </c>
    </row>
    <row r="18" spans="1:39" x14ac:dyDescent="0.25">
      <c r="A18">
        <v>18</v>
      </c>
      <c r="B18" s="1">
        <v>46233.736562500002</v>
      </c>
      <c r="C18" s="1">
        <v>46233.742129629631</v>
      </c>
      <c r="D18" t="s">
        <v>39</v>
      </c>
      <c r="F18" s="1"/>
      <c r="G18" s="2" t="s">
        <v>42</v>
      </c>
      <c r="H18" s="3">
        <v>1</v>
      </c>
      <c r="I18" s="3">
        <v>1</v>
      </c>
      <c r="J18" s="2" t="s">
        <v>41</v>
      </c>
      <c r="K18" s="2" t="s">
        <v>42</v>
      </c>
      <c r="L18" s="2" t="s">
        <v>41</v>
      </c>
      <c r="M18" s="3">
        <v>1</v>
      </c>
      <c r="N18" s="2" t="s">
        <v>42</v>
      </c>
      <c r="O18" s="3">
        <v>1</v>
      </c>
      <c r="P18" s="2" t="s">
        <v>40</v>
      </c>
      <c r="Q18" s="3">
        <v>1</v>
      </c>
      <c r="R18" s="2" t="s">
        <v>41</v>
      </c>
      <c r="S18" s="3">
        <v>1</v>
      </c>
      <c r="T18" s="3">
        <v>5</v>
      </c>
      <c r="U18" s="2" t="s">
        <v>42</v>
      </c>
      <c r="V18" s="2" t="s">
        <v>41</v>
      </c>
      <c r="W18" s="3">
        <v>1</v>
      </c>
      <c r="X18" s="2" t="s">
        <v>41</v>
      </c>
      <c r="Y18" s="2" t="s">
        <v>42</v>
      </c>
      <c r="Z18" s="2" t="s">
        <v>41</v>
      </c>
      <c r="AA18" s="2" t="s">
        <v>42</v>
      </c>
      <c r="AB18" s="2" t="s">
        <v>41</v>
      </c>
      <c r="AC18" s="3">
        <v>1</v>
      </c>
      <c r="AD18" s="2" t="s">
        <v>41</v>
      </c>
      <c r="AE18" s="2" t="s">
        <v>42</v>
      </c>
      <c r="AF18" s="2" t="s">
        <v>41</v>
      </c>
      <c r="AG18" s="2" t="s">
        <v>42</v>
      </c>
      <c r="AH18" s="2" t="s">
        <v>41</v>
      </c>
      <c r="AI18" s="3">
        <v>1</v>
      </c>
      <c r="AJ18" s="2" t="s">
        <v>41</v>
      </c>
      <c r="AK18" s="2" t="s">
        <v>42</v>
      </c>
      <c r="AL18" s="3"/>
      <c r="AM18" s="3">
        <v>1</v>
      </c>
    </row>
    <row r="19" spans="1:39" x14ac:dyDescent="0.25">
      <c r="A19">
        <v>19</v>
      </c>
      <c r="B19" s="1">
        <v>46233.755497685182</v>
      </c>
      <c r="C19" s="1">
        <v>46233.760393518518</v>
      </c>
      <c r="D19" t="s">
        <v>39</v>
      </c>
      <c r="F19" s="1"/>
      <c r="G19" s="3">
        <v>1</v>
      </c>
      <c r="H19" s="3">
        <v>1</v>
      </c>
      <c r="I19" s="3">
        <v>5</v>
      </c>
      <c r="J19" s="2" t="s">
        <v>42</v>
      </c>
      <c r="K19" s="2" t="s">
        <v>42</v>
      </c>
      <c r="L19" s="2" t="s">
        <v>40</v>
      </c>
      <c r="M19" s="3">
        <v>1</v>
      </c>
      <c r="N19" s="2" t="s">
        <v>41</v>
      </c>
      <c r="O19" s="2" t="s">
        <v>42</v>
      </c>
      <c r="P19" s="2" t="s">
        <v>40</v>
      </c>
      <c r="Q19" s="3">
        <v>1</v>
      </c>
      <c r="R19" s="2" t="s">
        <v>41</v>
      </c>
      <c r="S19" s="2" t="s">
        <v>42</v>
      </c>
      <c r="T19" s="3">
        <v>1</v>
      </c>
      <c r="U19" s="3">
        <v>5</v>
      </c>
      <c r="V19" s="2" t="s">
        <v>42</v>
      </c>
      <c r="W19" s="2" t="s">
        <v>40</v>
      </c>
      <c r="X19" s="2" t="s">
        <v>42</v>
      </c>
      <c r="Y19" s="2" t="s">
        <v>41</v>
      </c>
      <c r="Z19" s="3">
        <v>1</v>
      </c>
      <c r="AA19" s="2" t="s">
        <v>41</v>
      </c>
      <c r="AB19" s="3">
        <v>1</v>
      </c>
      <c r="AC19" s="2" t="s">
        <v>40</v>
      </c>
      <c r="AD19" s="3">
        <v>5</v>
      </c>
      <c r="AE19" s="3">
        <v>1</v>
      </c>
      <c r="AF19" s="2" t="s">
        <v>41</v>
      </c>
      <c r="AG19" s="2" t="s">
        <v>42</v>
      </c>
      <c r="AH19" s="3">
        <v>5</v>
      </c>
      <c r="AI19" s="3">
        <v>1</v>
      </c>
      <c r="AJ19" s="2" t="s">
        <v>41</v>
      </c>
      <c r="AK19" s="3">
        <v>1</v>
      </c>
      <c r="AL19" s="3">
        <v>5</v>
      </c>
      <c r="AM19" s="2" t="s">
        <v>42</v>
      </c>
    </row>
    <row r="20" spans="1:39" x14ac:dyDescent="0.2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25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2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2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2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2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7:39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7:39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7:39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7:39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7:39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7:39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7:39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7:39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99AB-CC86-4D9D-A6D8-A5ABF6876BCC}">
  <dimension ref="A1:B3"/>
  <sheetViews>
    <sheetView tabSelected="1" workbookViewId="0"/>
  </sheetViews>
  <sheetFormatPr baseColWidth="10" defaultRowHeight="15" x14ac:dyDescent="0.25"/>
  <sheetData>
    <row r="1" spans="1:2" x14ac:dyDescent="0.25">
      <c r="A1" t="s">
        <v>49</v>
      </c>
      <c r="B1">
        <f>'SUS VMware'!Y46</f>
        <v>76.388888888888886</v>
      </c>
    </row>
    <row r="2" spans="1:2" x14ac:dyDescent="0.25">
      <c r="A2" t="s">
        <v>50</v>
      </c>
      <c r="B2">
        <f>'SUS Nutanix'!Y46</f>
        <v>65.416666666666671</v>
      </c>
    </row>
    <row r="3" spans="1:2" x14ac:dyDescent="0.25">
      <c r="A3" t="s">
        <v>51</v>
      </c>
      <c r="B3">
        <f>'SUS Proxmox'!Y46</f>
        <v>71.388888888888886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SUS VMware</vt:lpstr>
      <vt:lpstr>SUS Nutanix</vt:lpstr>
      <vt:lpstr>SUS Proxmox</vt:lpstr>
      <vt:lpstr>Sheet1</vt:lpstr>
      <vt:lpstr>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Niclas Sieveneck</cp:lastModifiedBy>
  <dcterms:created xsi:type="dcterms:W3CDTF">2026-07-30T19:09:28Z</dcterms:created>
  <dcterms:modified xsi:type="dcterms:W3CDTF">2026-07-30T19:28:41Z</dcterms:modified>
</cp:coreProperties>
</file>