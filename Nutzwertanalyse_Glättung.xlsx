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71988a8a86cc1/Studium/Bachelor/Artefakte/"/>
    </mc:Choice>
  </mc:AlternateContent>
  <xr:revisionPtr revIDLastSave="309" documentId="8_{07ADA279-FDEA-4443-8009-F886D968C4FD}" xr6:coauthVersionLast="47" xr6:coauthVersionMax="47" xr10:uidLastSave="{313D2B3E-86AA-4B03-9D1B-5F72EA94EC6A}"/>
  <bookViews>
    <workbookView xWindow="-28920" yWindow="345" windowWidth="29040" windowHeight="15720" xr2:uid="{20C679E4-C9D8-48C4-B659-4235CD5DE514}"/>
  </bookViews>
  <sheets>
    <sheet name="Szenarien" sheetId="1" r:id="rId1"/>
    <sheet name="Lösungen" sheetId="7" r:id="rId2"/>
    <sheet name="Vorlage" sheetId="2" r:id="rId3"/>
    <sheet name="Szenario 1" sheetId="9" r:id="rId4"/>
    <sheet name="Szenario 2" sheetId="17" r:id="rId5"/>
    <sheet name="Szenario 3" sheetId="11" r:id="rId6"/>
    <sheet name="Szenario 4" sheetId="12" r:id="rId7"/>
    <sheet name="Szenario 5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7" l="1"/>
  <c r="E12" i="17"/>
  <c r="C12" i="17"/>
  <c r="B12" i="17" a="1"/>
  <c r="B12" i="17" s="1"/>
  <c r="G11" i="17"/>
  <c r="E11" i="17"/>
  <c r="C11" i="17"/>
  <c r="B11" i="17" a="1"/>
  <c r="B11" i="17" s="1"/>
  <c r="G10" i="17"/>
  <c r="E10" i="17"/>
  <c r="C10" i="17"/>
  <c r="B10" i="17" a="1"/>
  <c r="B10" i="17" s="1"/>
  <c r="G9" i="17"/>
  <c r="E9" i="17"/>
  <c r="C9" i="17"/>
  <c r="B9" i="17" a="1"/>
  <c r="B9" i="17" s="1"/>
  <c r="G8" i="17"/>
  <c r="E8" i="17"/>
  <c r="C8" i="17"/>
  <c r="B8" i="17" a="1"/>
  <c r="B8" i="17" s="1"/>
  <c r="G7" i="17"/>
  <c r="E7" i="17"/>
  <c r="C7" i="17"/>
  <c r="B7" i="17" a="1"/>
  <c r="B7" i="17" s="1"/>
  <c r="G6" i="17"/>
  <c r="E6" i="17"/>
  <c r="C6" i="17"/>
  <c r="B6" i="17" a="1"/>
  <c r="B6" i="17" s="1"/>
  <c r="G5" i="17"/>
  <c r="E5" i="17"/>
  <c r="C5" i="17"/>
  <c r="B5" i="17" a="1"/>
  <c r="B5" i="17" s="1"/>
  <c r="G4" i="17"/>
  <c r="E4" i="17"/>
  <c r="C4" i="17"/>
  <c r="B4" i="17" a="1"/>
  <c r="B4" i="17" s="1"/>
  <c r="G3" i="17"/>
  <c r="E3" i="17"/>
  <c r="C3" i="17"/>
  <c r="B3" i="17" a="1"/>
  <c r="B3" i="17" s="1"/>
  <c r="L7" i="1"/>
  <c r="B3" i="9" a="1"/>
  <c r="B3" i="9" s="1"/>
  <c r="G12" i="13"/>
  <c r="E12" i="13"/>
  <c r="C12" i="13"/>
  <c r="B12" i="13" a="1"/>
  <c r="B12" i="13" s="1"/>
  <c r="G11" i="13"/>
  <c r="E11" i="13"/>
  <c r="C11" i="13"/>
  <c r="B11" i="13" a="1"/>
  <c r="B11" i="13" s="1"/>
  <c r="G10" i="13"/>
  <c r="E10" i="13"/>
  <c r="C10" i="13"/>
  <c r="B10" i="13" a="1"/>
  <c r="B10" i="13" s="1"/>
  <c r="G9" i="13"/>
  <c r="E9" i="13"/>
  <c r="C9" i="13"/>
  <c r="B9" i="13" a="1"/>
  <c r="B9" i="13" s="1"/>
  <c r="G8" i="13"/>
  <c r="E8" i="13"/>
  <c r="C8" i="13"/>
  <c r="B8" i="13" a="1"/>
  <c r="B8" i="13" s="1"/>
  <c r="G7" i="13"/>
  <c r="E7" i="13"/>
  <c r="C7" i="13"/>
  <c r="B7" i="13" a="1"/>
  <c r="B7" i="13" s="1"/>
  <c r="G6" i="13"/>
  <c r="E6" i="13"/>
  <c r="C6" i="13"/>
  <c r="B6" i="13" a="1"/>
  <c r="B6" i="13" s="1"/>
  <c r="G5" i="13"/>
  <c r="E5" i="13"/>
  <c r="C5" i="13"/>
  <c r="B5" i="13" a="1"/>
  <c r="B5" i="13" s="1"/>
  <c r="G4" i="13"/>
  <c r="E4" i="13"/>
  <c r="C4" i="13"/>
  <c r="B4" i="13" a="1"/>
  <c r="B4" i="13" s="1"/>
  <c r="G3" i="13"/>
  <c r="E3" i="13"/>
  <c r="C3" i="13"/>
  <c r="B3" i="13" a="1"/>
  <c r="B3" i="13" s="1"/>
  <c r="G12" i="12"/>
  <c r="E12" i="12"/>
  <c r="C12" i="12"/>
  <c r="B12" i="12" a="1"/>
  <c r="B12" i="12" s="1"/>
  <c r="G11" i="12"/>
  <c r="E11" i="12"/>
  <c r="C11" i="12"/>
  <c r="B11" i="12" a="1"/>
  <c r="B11" i="12" s="1"/>
  <c r="G10" i="12"/>
  <c r="E10" i="12"/>
  <c r="C10" i="12"/>
  <c r="B10" i="12" a="1"/>
  <c r="B10" i="12" s="1"/>
  <c r="G9" i="12"/>
  <c r="E9" i="12"/>
  <c r="C9" i="12"/>
  <c r="B9" i="12" a="1"/>
  <c r="B9" i="12" s="1"/>
  <c r="G8" i="12"/>
  <c r="E8" i="12"/>
  <c r="C8" i="12"/>
  <c r="B8" i="12" a="1"/>
  <c r="B8" i="12" s="1"/>
  <c r="G7" i="12"/>
  <c r="E7" i="12"/>
  <c r="C7" i="12"/>
  <c r="B7" i="12" a="1"/>
  <c r="B7" i="12" s="1"/>
  <c r="G6" i="12"/>
  <c r="E6" i="12"/>
  <c r="C6" i="12"/>
  <c r="B6" i="12" a="1"/>
  <c r="B6" i="12" s="1"/>
  <c r="G5" i="12"/>
  <c r="E5" i="12"/>
  <c r="C5" i="12"/>
  <c r="B5" i="12" a="1"/>
  <c r="B5" i="12" s="1"/>
  <c r="G4" i="12"/>
  <c r="E4" i="12"/>
  <c r="C4" i="12"/>
  <c r="B4" i="12" a="1"/>
  <c r="B4" i="12" s="1"/>
  <c r="G3" i="12"/>
  <c r="E3" i="12"/>
  <c r="C3" i="12"/>
  <c r="B3" i="12" a="1"/>
  <c r="B3" i="12" s="1"/>
  <c r="G12" i="11"/>
  <c r="E12" i="11"/>
  <c r="C12" i="11"/>
  <c r="B12" i="11" a="1"/>
  <c r="B12" i="11" s="1"/>
  <c r="G11" i="11"/>
  <c r="E11" i="11"/>
  <c r="C11" i="11"/>
  <c r="B11" i="11" a="1"/>
  <c r="B11" i="11" s="1"/>
  <c r="G10" i="11"/>
  <c r="E10" i="11"/>
  <c r="C10" i="11"/>
  <c r="B10" i="11" a="1"/>
  <c r="B10" i="11" s="1"/>
  <c r="G9" i="11"/>
  <c r="E9" i="11"/>
  <c r="C9" i="11"/>
  <c r="B9" i="11" a="1"/>
  <c r="B9" i="11" s="1"/>
  <c r="G8" i="11"/>
  <c r="E8" i="11"/>
  <c r="C8" i="11"/>
  <c r="B8" i="11" a="1"/>
  <c r="B8" i="11" s="1"/>
  <c r="G7" i="11"/>
  <c r="E7" i="11"/>
  <c r="C7" i="11"/>
  <c r="B7" i="11" a="1"/>
  <c r="B7" i="11" s="1"/>
  <c r="G6" i="11"/>
  <c r="E6" i="11"/>
  <c r="C6" i="11"/>
  <c r="B6" i="11" a="1"/>
  <c r="B6" i="11" s="1"/>
  <c r="G5" i="11"/>
  <c r="E5" i="11"/>
  <c r="C5" i="11"/>
  <c r="B5" i="11" a="1"/>
  <c r="B5" i="11" s="1"/>
  <c r="G4" i="11"/>
  <c r="E4" i="11"/>
  <c r="C4" i="11"/>
  <c r="B4" i="11" a="1"/>
  <c r="B4" i="11" s="1"/>
  <c r="G3" i="11"/>
  <c r="E3" i="11"/>
  <c r="C3" i="11"/>
  <c r="B3" i="11" a="1"/>
  <c r="B3" i="11" s="1"/>
  <c r="G12" i="9"/>
  <c r="E12" i="9"/>
  <c r="C12" i="9"/>
  <c r="B12" i="9" a="1"/>
  <c r="B12" i="9" s="1"/>
  <c r="G11" i="9"/>
  <c r="E11" i="9"/>
  <c r="C11" i="9"/>
  <c r="B11" i="9" a="1"/>
  <c r="B11" i="9" s="1"/>
  <c r="G10" i="9"/>
  <c r="E10" i="9"/>
  <c r="C10" i="9"/>
  <c r="B10" i="9" a="1"/>
  <c r="B10" i="9" s="1"/>
  <c r="G9" i="9"/>
  <c r="E9" i="9"/>
  <c r="C9" i="9"/>
  <c r="B9" i="9" a="1"/>
  <c r="B9" i="9" s="1"/>
  <c r="G8" i="9"/>
  <c r="E8" i="9"/>
  <c r="C8" i="9"/>
  <c r="B8" i="9" a="1"/>
  <c r="B8" i="9" s="1"/>
  <c r="G7" i="9"/>
  <c r="E7" i="9"/>
  <c r="C7" i="9"/>
  <c r="B7" i="9" a="1"/>
  <c r="B7" i="9" s="1"/>
  <c r="G6" i="9"/>
  <c r="E6" i="9"/>
  <c r="C6" i="9"/>
  <c r="B6" i="9" a="1"/>
  <c r="B6" i="9" s="1"/>
  <c r="G5" i="9"/>
  <c r="E5" i="9"/>
  <c r="C5" i="9"/>
  <c r="B5" i="9" a="1"/>
  <c r="B5" i="9" s="1"/>
  <c r="G4" i="9"/>
  <c r="E4" i="9"/>
  <c r="C4" i="9"/>
  <c r="B4" i="9" a="1"/>
  <c r="B4" i="9" s="1"/>
  <c r="G3" i="9"/>
  <c r="E3" i="9"/>
  <c r="C3" i="9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G4" i="2"/>
  <c r="G5" i="2"/>
  <c r="G6" i="2"/>
  <c r="G7" i="2"/>
  <c r="G8" i="2"/>
  <c r="G9" i="2"/>
  <c r="G10" i="2"/>
  <c r="G11" i="2"/>
  <c r="G12" i="2"/>
  <c r="G3" i="2"/>
  <c r="E4" i="2"/>
  <c r="E5" i="2"/>
  <c r="E6" i="2"/>
  <c r="E7" i="2"/>
  <c r="E8" i="2"/>
  <c r="E9" i="2"/>
  <c r="E10" i="2"/>
  <c r="E11" i="2"/>
  <c r="E12" i="2"/>
  <c r="E3" i="2"/>
  <c r="C5" i="2"/>
  <c r="C6" i="2"/>
  <c r="C7" i="2"/>
  <c r="C8" i="2"/>
  <c r="C9" i="2"/>
  <c r="C10" i="2"/>
  <c r="C11" i="2"/>
  <c r="C12" i="2"/>
  <c r="C4" i="2"/>
  <c r="C3" i="2"/>
  <c r="C12" i="7"/>
  <c r="D12" i="7"/>
  <c r="B12" i="7"/>
  <c r="L3" i="1"/>
  <c r="L4" i="1"/>
  <c r="L5" i="1"/>
  <c r="L6" i="1"/>
  <c r="L2" i="1"/>
  <c r="D5" i="17" l="1"/>
  <c r="F5" i="17"/>
  <c r="H5" i="17"/>
  <c r="H6" i="17"/>
  <c r="F6" i="17"/>
  <c r="D6" i="17"/>
  <c r="H4" i="17"/>
  <c r="F4" i="17"/>
  <c r="D4" i="17"/>
  <c r="D7" i="17"/>
  <c r="H7" i="17"/>
  <c r="F7" i="17"/>
  <c r="H10" i="17"/>
  <c r="F10" i="17"/>
  <c r="D10" i="17"/>
  <c r="D11" i="17"/>
  <c r="H11" i="17"/>
  <c r="F11" i="17"/>
  <c r="H12" i="17"/>
  <c r="F12" i="17"/>
  <c r="D12" i="17"/>
  <c r="D9" i="17"/>
  <c r="H9" i="17"/>
  <c r="F9" i="17"/>
  <c r="D3" i="17"/>
  <c r="B13" i="17"/>
  <c r="H3" i="17"/>
  <c r="F3" i="17"/>
  <c r="H8" i="17"/>
  <c r="F8" i="17"/>
  <c r="D8" i="17"/>
  <c r="D5" i="13"/>
  <c r="H5" i="13"/>
  <c r="F5" i="13"/>
  <c r="H4" i="13"/>
  <c r="F4" i="13"/>
  <c r="D4" i="13"/>
  <c r="D9" i="13"/>
  <c r="H9" i="13"/>
  <c r="F9" i="13"/>
  <c r="H10" i="13"/>
  <c r="D10" i="13"/>
  <c r="F10" i="13"/>
  <c r="D3" i="13"/>
  <c r="H3" i="13"/>
  <c r="B13" i="13"/>
  <c r="F3" i="13"/>
  <c r="D7" i="13"/>
  <c r="H7" i="13"/>
  <c r="F7" i="13"/>
  <c r="H12" i="13"/>
  <c r="F12" i="13"/>
  <c r="D12" i="13"/>
  <c r="D6" i="13"/>
  <c r="H6" i="13"/>
  <c r="F6" i="13"/>
  <c r="D11" i="13"/>
  <c r="F11" i="13"/>
  <c r="H11" i="13"/>
  <c r="H8" i="13"/>
  <c r="F8" i="13"/>
  <c r="D8" i="13"/>
  <c r="D9" i="12"/>
  <c r="F9" i="12"/>
  <c r="H9" i="12"/>
  <c r="D5" i="12"/>
  <c r="H5" i="12"/>
  <c r="F5" i="12"/>
  <c r="H10" i="12"/>
  <c r="F10" i="12"/>
  <c r="D10" i="12"/>
  <c r="D3" i="12"/>
  <c r="B13" i="12"/>
  <c r="F3" i="12"/>
  <c r="H3" i="12"/>
  <c r="H6" i="12"/>
  <c r="F6" i="12"/>
  <c r="D6" i="12"/>
  <c r="D7" i="12"/>
  <c r="H7" i="12"/>
  <c r="F7" i="12"/>
  <c r="H8" i="12"/>
  <c r="F8" i="12"/>
  <c r="D8" i="12"/>
  <c r="D11" i="12"/>
  <c r="H11" i="12"/>
  <c r="F11" i="12"/>
  <c r="F4" i="12"/>
  <c r="H4" i="12"/>
  <c r="D4" i="12"/>
  <c r="H12" i="12"/>
  <c r="F12" i="12"/>
  <c r="D12" i="12"/>
  <c r="D9" i="11"/>
  <c r="H9" i="11"/>
  <c r="F9" i="11"/>
  <c r="H10" i="11"/>
  <c r="F10" i="11"/>
  <c r="D10" i="11"/>
  <c r="D3" i="11"/>
  <c r="B13" i="11"/>
  <c r="F3" i="11"/>
  <c r="H3" i="11"/>
  <c r="D5" i="11"/>
  <c r="H5" i="11"/>
  <c r="F5" i="11"/>
  <c r="H6" i="11"/>
  <c r="F6" i="11"/>
  <c r="D6" i="11"/>
  <c r="D7" i="11"/>
  <c r="H7" i="11"/>
  <c r="F7" i="11"/>
  <c r="H12" i="11"/>
  <c r="F12" i="11"/>
  <c r="D12" i="11"/>
  <c r="D11" i="11"/>
  <c r="H11" i="11"/>
  <c r="F11" i="11"/>
  <c r="H4" i="11"/>
  <c r="F4" i="11"/>
  <c r="D4" i="11"/>
  <c r="H8" i="11"/>
  <c r="F8" i="11"/>
  <c r="D8" i="11"/>
  <c r="D9" i="9"/>
  <c r="F9" i="9"/>
  <c r="H9" i="9"/>
  <c r="H10" i="9"/>
  <c r="F10" i="9"/>
  <c r="D10" i="9"/>
  <c r="D3" i="9"/>
  <c r="F3" i="9"/>
  <c r="B13" i="9"/>
  <c r="H3" i="9"/>
  <c r="D11" i="9"/>
  <c r="F11" i="9"/>
  <c r="H11" i="9"/>
  <c r="H4" i="9"/>
  <c r="F4" i="9"/>
  <c r="D4" i="9"/>
  <c r="H12" i="9"/>
  <c r="F12" i="9"/>
  <c r="D12" i="9"/>
  <c r="D5" i="9"/>
  <c r="F5" i="9"/>
  <c r="H5" i="9"/>
  <c r="H6" i="9"/>
  <c r="D6" i="9"/>
  <c r="F6" i="9"/>
  <c r="D7" i="9"/>
  <c r="H7" i="9"/>
  <c r="F7" i="9"/>
  <c r="H8" i="9"/>
  <c r="D8" i="9"/>
  <c r="F8" i="9"/>
  <c r="D11" i="2"/>
  <c r="D12" i="2"/>
  <c r="F9" i="2"/>
  <c r="D9" i="2"/>
  <c r="D10" i="2"/>
  <c r="F10" i="2"/>
  <c r="F8" i="2"/>
  <c r="H8" i="2"/>
  <c r="D8" i="2"/>
  <c r="H7" i="2"/>
  <c r="D7" i="2"/>
  <c r="F7" i="2"/>
  <c r="H6" i="2"/>
  <c r="F6" i="2"/>
  <c r="D6" i="2"/>
  <c r="F5" i="2"/>
  <c r="H5" i="2"/>
  <c r="D5" i="2"/>
  <c r="D4" i="2"/>
  <c r="H4" i="2"/>
  <c r="F4" i="2"/>
  <c r="H12" i="2"/>
  <c r="H11" i="2"/>
  <c r="H9" i="2"/>
  <c r="H10" i="2"/>
  <c r="F12" i="2"/>
  <c r="F11" i="2"/>
  <c r="D3" i="2"/>
  <c r="F3" i="2"/>
  <c r="B13" i="2"/>
  <c r="H3" i="2"/>
  <c r="M2" i="1"/>
  <c r="D13" i="17" l="1"/>
  <c r="D14" i="17" s="1"/>
  <c r="H13" i="17"/>
  <c r="H14" i="17" s="1"/>
  <c r="F13" i="17"/>
  <c r="H13" i="13"/>
  <c r="H14" i="13" s="1"/>
  <c r="F13" i="13"/>
  <c r="F14" i="13" s="1"/>
  <c r="F13" i="12"/>
  <c r="F14" i="12" s="1"/>
  <c r="D13" i="13"/>
  <c r="D14" i="13" s="1"/>
  <c r="H13" i="12"/>
  <c r="H14" i="12" s="1"/>
  <c r="D13" i="12"/>
  <c r="D14" i="12" s="1"/>
  <c r="H13" i="11"/>
  <c r="H14" i="11" s="1"/>
  <c r="D13" i="11"/>
  <c r="D14" i="11" s="1"/>
  <c r="F13" i="11"/>
  <c r="F14" i="11" s="1"/>
  <c r="D13" i="9"/>
  <c r="D14" i="9" s="1"/>
  <c r="F13" i="9"/>
  <c r="F14" i="9" s="1"/>
  <c r="H13" i="9"/>
  <c r="H14" i="9" s="1"/>
  <c r="D13" i="2"/>
  <c r="D14" i="2" s="1"/>
  <c r="H13" i="2"/>
  <c r="H14" i="2" s="1"/>
  <c r="F13" i="2"/>
  <c r="F14" i="2" s="1"/>
  <c r="D15" i="17" l="1"/>
  <c r="F14" i="17"/>
  <c r="D15" i="11"/>
  <c r="D15" i="2"/>
  <c r="H15" i="9"/>
  <c r="F15" i="9"/>
  <c r="H15" i="12"/>
  <c r="F15" i="12"/>
  <c r="H15" i="13"/>
  <c r="F15" i="13"/>
  <c r="D15" i="12"/>
  <c r="D15" i="13"/>
  <c r="H15" i="11"/>
  <c r="F15" i="11"/>
  <c r="H15" i="2"/>
  <c r="F15" i="2"/>
  <c r="D15" i="9"/>
  <c r="H15" i="17"/>
  <c r="F15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<sst xmlns="http://schemas.openxmlformats.org/spreadsheetml/2006/main" count="196" uniqueCount="39">
  <si>
    <t>Szenario</t>
  </si>
  <si>
    <t>Kosten</t>
  </si>
  <si>
    <t>Skalierbarkeit</t>
  </si>
  <si>
    <t>Hochverfügbarkeit</t>
  </si>
  <si>
    <t>Multi-Cloud-Fähigkeit</t>
  </si>
  <si>
    <t>Storage-Features</t>
  </si>
  <si>
    <t>Automatisierbarkeit</t>
  </si>
  <si>
    <t>Support</t>
  </si>
  <si>
    <t>Migrationsaufwand</t>
  </si>
  <si>
    <t>Kriterium</t>
  </si>
  <si>
    <t>Hybrid-/Multi-Cloud-Fähigkeit</t>
  </si>
  <si>
    <t>Gewichtung</t>
  </si>
  <si>
    <t>Nutanix</t>
  </si>
  <si>
    <t>Summe</t>
  </si>
  <si>
    <t>Rang</t>
  </si>
  <si>
    <t>Unified Storage</t>
  </si>
  <si>
    <t>Mittel</t>
  </si>
  <si>
    <t>Proxmox mit Ceph</t>
  </si>
  <si>
    <t>Szenario:</t>
  </si>
  <si>
    <t>#</t>
  </si>
  <si>
    <t>Benutzerfreundlichkeit</t>
  </si>
  <si>
    <t>VMware/Broadcom</t>
  </si>
  <si>
    <t>Kühnapfel, 2021:</t>
  </si>
  <si>
    <t>Verbleibende Kriterien</t>
  </si>
  <si>
    <t>Wichtigste Kriterien</t>
  </si>
  <si>
    <t>Unwichtigste Kriterien</t>
  </si>
  <si>
    <t>Ergänzung:</t>
  </si>
  <si>
    <t>Gewichtungen die einen Wert von 0 haben keine Auswirklungen auf die Entscheidung, darum bleiben diese 0.</t>
  </si>
  <si>
    <t>Kommentar</t>
  </si>
  <si>
    <t>Keine Änderung, da zu viele Werte gleich.</t>
  </si>
  <si>
    <t>Glättung durchgeführt</t>
  </si>
  <si>
    <t>"Um Ausreißer bei der Gewichtung zu glätten, wird ein Durchschnittswert der zwei wichtigsten sowie der zwei unwichtigsten Kriterien gebildet." [...]</t>
  </si>
  <si>
    <t>"Das dann verbleibende Gewicht wird auf die übrigen Kriterien gleichverteilt."</t>
  </si>
  <si>
    <t>Würde bei Erweiterung diese Grenze reißen, wird die Gruppe auf die Kriterien mit dem Extremwert selbst reduziert.</t>
  </si>
  <si>
    <t xml:space="preserve">"Wichtige" und "Unichtige" Kriteriengruppen dürfen nicht mehr als ein drittel aller Kriterien enthalten, wenn diese unterschiedliche Werte haben. </t>
  </si>
  <si>
    <t>Da sonst die Extremwerte die Werte der Mitte zu sehr beeinflussen.</t>
  </si>
  <si>
    <t>Bewertung</t>
  </si>
  <si>
    <t>Score</t>
  </si>
  <si>
    <t>Normiert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</si>
</sst>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1" fillId="0" borderId="2" xfId="0" applyFont="1" applyBorder="1" applyAlignment="1">
      <alignment vertical="center" wrapText="1"/>
    </xf>
    <xf numFmtId="0" fontId="4" fillId="3" borderId="0" xfId="2"/>
    <xf numFmtId="0" fontId="3" fillId="2" borderId="0" xfId="1"/>
    <xf numFmtId="0" fontId="4" fillId="3" borderId="1" xfId="2" applyBorder="1" applyAlignment="1">
      <alignment vertical="center" wrapText="1"/>
    </xf>
    <xf numFmtId="0" fontId="3" fillId="2" borderId="1" xfId="1" applyBorder="1" applyAlignment="1">
      <alignment vertical="center" wrapText="1"/>
    </xf>
    <xf numFmtId="0" fontId="5" fillId="4" borderId="0" xfId="3"/>
    <xf numFmtId="0" fontId="5" fillId="4" borderId="1" xfId="3" applyBorder="1" applyAlignment="1">
      <alignment vertical="center" wrapText="1"/>
    </xf>
    <xf numFmtId="0" fontId="0" fillId="0" borderId="2" xfId="0" applyBorder="1"/>
    <xf numFmtId="0" fontId="3" fillId="2" borderId="4" xfId="1" applyBorder="1" applyAlignment="1">
      <alignment vertical="center" wrapText="1"/>
    </xf>
    <xf numFmtId="0" fontId="4" fillId="3" borderId="4" xfId="2" applyBorder="1" applyAlignment="1">
      <alignment vertical="center" wrapText="1"/>
    </xf>
    <xf numFmtId="0" fontId="5" fillId="4" borderId="4" xfId="3" applyBorder="1" applyAlignment="1">
      <alignment vertical="center" wrapText="1"/>
    </xf>
    <xf numFmtId="0" fontId="7" fillId="2" borderId="1" xfId="1" applyFont="1" applyBorder="1" applyAlignment="1">
      <alignment vertical="center" wrapText="1"/>
    </xf>
    <xf numFmtId="0" fontId="6" fillId="0" borderId="0" xfId="0" applyFont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/>
    <xf numFmtId="0" fontId="1" fillId="5" borderId="2" xfId="0" applyFont="1" applyFill="1" applyBorder="1" applyAlignment="1">
      <alignment vertical="center" wrapText="1"/>
    </xf>
    <xf numFmtId="0" fontId="0" fillId="5" borderId="2" xfId="0" applyFill="1" applyBorder="1"/>
    <xf numFmtId="0" fontId="1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B26-C307-4627-BFB9-E5F80460B961}">
  <dimension ref="A1:N21"/>
  <sheetViews>
    <sheetView tabSelected="1" zoomScale="154" zoomScaleNormal="154" workbookViewId="0">
      <selection activeCell="H12" sqref="H12"/>
    </sheetView>
  </sheetViews>
  <sheetFormatPr baseColWidth="10" defaultRowHeight="15" x14ac:dyDescent="0.25"/>
  <cols>
    <col min="14" max="14" width="37.28515625" bestFit="1" customWidth="1"/>
  </cols>
  <sheetData>
    <row r="1" spans="1:14" ht="45.75" thickBot="1" x14ac:dyDescent="0.3">
      <c r="A1" s="20" t="s">
        <v>0</v>
      </c>
      <c r="B1" s="20" t="s">
        <v>1</v>
      </c>
      <c r="C1" s="20" t="s">
        <v>7</v>
      </c>
      <c r="D1" s="20" t="s">
        <v>8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15</v>
      </c>
      <c r="J1" s="20" t="s">
        <v>20</v>
      </c>
      <c r="K1" s="20" t="s">
        <v>6</v>
      </c>
      <c r="L1" s="21" t="s">
        <v>13</v>
      </c>
      <c r="M1" s="21" t="s">
        <v>16</v>
      </c>
      <c r="N1" s="21" t="s">
        <v>28</v>
      </c>
    </row>
    <row r="2" spans="1:14" ht="15.75" thickBot="1" x14ac:dyDescent="0.3">
      <c r="A2" s="20">
        <v>1</v>
      </c>
      <c r="B2" s="15">
        <v>32.5</v>
      </c>
      <c r="C2" s="7">
        <v>5</v>
      </c>
      <c r="D2" s="1">
        <v>0</v>
      </c>
      <c r="E2" s="15">
        <v>32.5</v>
      </c>
      <c r="F2" s="10">
        <v>10</v>
      </c>
      <c r="G2" s="1">
        <v>0</v>
      </c>
      <c r="H2" s="7">
        <v>5</v>
      </c>
      <c r="I2" s="1">
        <v>0</v>
      </c>
      <c r="J2" s="10">
        <v>10</v>
      </c>
      <c r="K2" s="7">
        <v>5</v>
      </c>
      <c r="L2" s="21">
        <f t="shared" ref="L2:L7" si="0">SUM(B2:K2)</f>
        <v>100</v>
      </c>
      <c r="M2" s="23">
        <f>AVERAGE(L2:L6)</f>
        <v>100</v>
      </c>
      <c r="N2" s="11"/>
    </row>
    <row r="3" spans="1:14" ht="15.75" thickBot="1" x14ac:dyDescent="0.3">
      <c r="A3" s="20">
        <v>2</v>
      </c>
      <c r="B3" s="8">
        <v>15</v>
      </c>
      <c r="C3" s="10">
        <v>10</v>
      </c>
      <c r="D3" s="8">
        <v>15</v>
      </c>
      <c r="E3" s="7">
        <v>5</v>
      </c>
      <c r="F3" s="8">
        <v>15</v>
      </c>
      <c r="G3" s="8">
        <v>15</v>
      </c>
      <c r="H3" s="7">
        <v>5</v>
      </c>
      <c r="I3" s="1">
        <v>0</v>
      </c>
      <c r="J3" s="8">
        <v>15</v>
      </c>
      <c r="K3" s="7">
        <v>5</v>
      </c>
      <c r="L3" s="21">
        <f t="shared" si="0"/>
        <v>100</v>
      </c>
      <c r="M3" s="24"/>
      <c r="N3" s="11" t="s">
        <v>29</v>
      </c>
    </row>
    <row r="4" spans="1:14" ht="15.75" thickBot="1" x14ac:dyDescent="0.3">
      <c r="A4" s="20">
        <v>3</v>
      </c>
      <c r="B4" s="8">
        <v>15</v>
      </c>
      <c r="C4" s="1">
        <v>10</v>
      </c>
      <c r="D4" s="8">
        <v>15</v>
      </c>
      <c r="E4" s="7">
        <v>5</v>
      </c>
      <c r="F4" s="7">
        <v>5</v>
      </c>
      <c r="G4" s="1">
        <v>0</v>
      </c>
      <c r="H4" s="8">
        <v>15</v>
      </c>
      <c r="I4" s="8">
        <v>15</v>
      </c>
      <c r="J4" s="8">
        <v>15</v>
      </c>
      <c r="K4" s="7">
        <v>5</v>
      </c>
      <c r="L4" s="21">
        <f t="shared" si="0"/>
        <v>100</v>
      </c>
      <c r="M4" s="24"/>
      <c r="N4" s="11" t="s">
        <v>29</v>
      </c>
    </row>
    <row r="5" spans="1:14" ht="15.75" thickBot="1" x14ac:dyDescent="0.3">
      <c r="A5" s="20">
        <v>4</v>
      </c>
      <c r="B5" s="10">
        <v>10</v>
      </c>
      <c r="C5" s="10">
        <v>10</v>
      </c>
      <c r="D5" s="10">
        <v>10</v>
      </c>
      <c r="E5" s="10">
        <v>10</v>
      </c>
      <c r="F5" s="8">
        <v>15</v>
      </c>
      <c r="G5" s="1">
        <v>0</v>
      </c>
      <c r="H5" s="8">
        <v>15</v>
      </c>
      <c r="I5" s="8">
        <v>15</v>
      </c>
      <c r="J5" s="10">
        <v>10</v>
      </c>
      <c r="K5" s="7">
        <v>5</v>
      </c>
      <c r="L5" s="21">
        <f t="shared" si="0"/>
        <v>100</v>
      </c>
      <c r="M5" s="24"/>
      <c r="N5" s="11" t="s">
        <v>29</v>
      </c>
    </row>
    <row r="6" spans="1:14" x14ac:dyDescent="0.25">
      <c r="A6" s="22">
        <v>5</v>
      </c>
      <c r="B6" s="13">
        <v>5</v>
      </c>
      <c r="C6" s="12">
        <v>15</v>
      </c>
      <c r="D6" s="14">
        <v>10</v>
      </c>
      <c r="E6" s="14">
        <v>10</v>
      </c>
      <c r="F6" s="12">
        <v>15</v>
      </c>
      <c r="G6" s="12">
        <v>15</v>
      </c>
      <c r="H6" s="14">
        <v>10</v>
      </c>
      <c r="I6" s="13">
        <v>5</v>
      </c>
      <c r="J6" s="13">
        <v>5</v>
      </c>
      <c r="K6" s="14">
        <v>10</v>
      </c>
      <c r="L6" s="21">
        <f t="shared" si="0"/>
        <v>100</v>
      </c>
      <c r="M6" s="24"/>
      <c r="N6" s="11" t="s">
        <v>29</v>
      </c>
    </row>
    <row r="7" spans="1:14" x14ac:dyDescent="0.25">
      <c r="A7" s="20">
        <v>0</v>
      </c>
      <c r="B7" s="4">
        <v>10</v>
      </c>
      <c r="C7" s="4">
        <v>10</v>
      </c>
      <c r="D7" s="4">
        <v>10</v>
      </c>
      <c r="E7" s="4">
        <v>10</v>
      </c>
      <c r="F7" s="4">
        <v>10</v>
      </c>
      <c r="G7" s="4">
        <v>10</v>
      </c>
      <c r="H7" s="4">
        <v>10</v>
      </c>
      <c r="I7" s="4">
        <v>10</v>
      </c>
      <c r="J7" s="4">
        <v>10</v>
      </c>
      <c r="K7" s="4">
        <v>10</v>
      </c>
      <c r="L7" s="21">
        <f t="shared" si="0"/>
        <v>100</v>
      </c>
      <c r="M7" s="25"/>
      <c r="N7" s="11"/>
    </row>
    <row r="9" spans="1:14" x14ac:dyDescent="0.25">
      <c r="A9" s="6" t="s">
        <v>24</v>
      </c>
      <c r="B9" s="6"/>
    </row>
    <row r="10" spans="1:14" x14ac:dyDescent="0.25">
      <c r="A10" s="9" t="s">
        <v>23</v>
      </c>
      <c r="B10" s="9"/>
      <c r="D10" s="16" t="s">
        <v>30</v>
      </c>
    </row>
    <row r="11" spans="1:14" x14ac:dyDescent="0.25">
      <c r="A11" s="5" t="s">
        <v>25</v>
      </c>
      <c r="B11" s="5"/>
    </row>
    <row r="13" spans="1:14" x14ac:dyDescent="0.25">
      <c r="A13" t="s">
        <v>22</v>
      </c>
    </row>
    <row r="14" spans="1:14" x14ac:dyDescent="0.25">
      <c r="A14" t="s">
        <v>31</v>
      </c>
    </row>
    <row r="15" spans="1:14" x14ac:dyDescent="0.25">
      <c r="A15" t="s">
        <v>32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34</v>
      </c>
    </row>
    <row r="20" spans="1:1" x14ac:dyDescent="0.25">
      <c r="A20" t="s">
        <v>35</v>
      </c>
    </row>
    <row r="21" spans="1:1" x14ac:dyDescent="0.25">
      <c r="A21" t="s">
        <v>33</v>
      </c>
    </row>
  </sheetData>
  <mergeCells count="1">
    <mergeCell ref="M2:M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522C-D307-4272-8586-B326A6E69815}">
  <dimension ref="A1:D13"/>
  <sheetViews>
    <sheetView zoomScale="160" zoomScaleNormal="160" workbookViewId="0">
      <selection activeCell="B16" sqref="B16"/>
    </sheetView>
  </sheetViews>
  <sheetFormatPr baseColWidth="10" defaultRowHeight="15" x14ac:dyDescent="0.25"/>
  <cols>
    <col min="1" max="1" width="27.85546875" bestFit="1" customWidth="1"/>
    <col min="2" max="2" width="19.140625" bestFit="1" customWidth="1"/>
    <col min="4" max="4" width="19" bestFit="1" customWidth="1"/>
  </cols>
  <sheetData>
    <row r="1" spans="1:4" x14ac:dyDescent="0.25">
      <c r="A1" s="17" t="s">
        <v>9</v>
      </c>
      <c r="B1" s="17" t="s">
        <v>21</v>
      </c>
      <c r="C1" s="17" t="s">
        <v>12</v>
      </c>
      <c r="D1" s="17" t="s">
        <v>17</v>
      </c>
    </row>
    <row r="2" spans="1:4" x14ac:dyDescent="0.25">
      <c r="A2" s="3" t="s">
        <v>1</v>
      </c>
      <c r="B2" s="3">
        <v>1</v>
      </c>
      <c r="C2" s="3">
        <v>2</v>
      </c>
      <c r="D2" s="3">
        <v>3</v>
      </c>
    </row>
    <row r="3" spans="1:4" x14ac:dyDescent="0.25">
      <c r="A3" s="3" t="s">
        <v>7</v>
      </c>
      <c r="B3" s="3">
        <v>3</v>
      </c>
      <c r="C3" s="3">
        <v>3</v>
      </c>
      <c r="D3" s="3">
        <v>1</v>
      </c>
    </row>
    <row r="4" spans="1:4" x14ac:dyDescent="0.25">
      <c r="A4" s="3" t="s">
        <v>8</v>
      </c>
      <c r="B4" s="3">
        <v>1</v>
      </c>
      <c r="C4" s="3">
        <v>3</v>
      </c>
      <c r="D4" s="3">
        <v>2</v>
      </c>
    </row>
    <row r="5" spans="1:4" x14ac:dyDescent="0.25">
      <c r="A5" s="3" t="s">
        <v>2</v>
      </c>
      <c r="B5" s="3">
        <v>3</v>
      </c>
      <c r="C5" s="3">
        <v>3</v>
      </c>
      <c r="D5" s="3">
        <v>3</v>
      </c>
    </row>
    <row r="6" spans="1:4" x14ac:dyDescent="0.25">
      <c r="A6" s="3" t="s">
        <v>3</v>
      </c>
      <c r="B6" s="3">
        <v>3</v>
      </c>
      <c r="C6" s="3">
        <v>2</v>
      </c>
      <c r="D6" s="3">
        <v>2</v>
      </c>
    </row>
    <row r="7" spans="1:4" x14ac:dyDescent="0.25">
      <c r="A7" s="3" t="s">
        <v>10</v>
      </c>
      <c r="B7" s="3">
        <v>3</v>
      </c>
      <c r="C7" s="3">
        <v>2</v>
      </c>
      <c r="D7" s="3">
        <v>1</v>
      </c>
    </row>
    <row r="8" spans="1:4" x14ac:dyDescent="0.25">
      <c r="A8" s="3" t="s">
        <v>5</v>
      </c>
      <c r="B8" s="3">
        <v>2</v>
      </c>
      <c r="C8" s="3">
        <v>3</v>
      </c>
      <c r="D8" s="3">
        <v>1</v>
      </c>
    </row>
    <row r="9" spans="1:4" x14ac:dyDescent="0.25">
      <c r="A9" s="3" t="s">
        <v>15</v>
      </c>
      <c r="B9" s="3">
        <v>2</v>
      </c>
      <c r="C9" s="3">
        <v>3</v>
      </c>
      <c r="D9" s="3">
        <v>1</v>
      </c>
    </row>
    <row r="10" spans="1:4" x14ac:dyDescent="0.25">
      <c r="A10" s="3" t="s">
        <v>20</v>
      </c>
      <c r="B10" s="3">
        <v>3</v>
      </c>
      <c r="C10" s="3">
        <v>1</v>
      </c>
      <c r="D10" s="3">
        <v>2</v>
      </c>
    </row>
    <row r="11" spans="1:4" x14ac:dyDescent="0.25">
      <c r="A11" s="3" t="s">
        <v>6</v>
      </c>
      <c r="B11" s="3">
        <v>3</v>
      </c>
      <c r="C11" s="3">
        <v>1</v>
      </c>
      <c r="D11" s="3">
        <v>2</v>
      </c>
    </row>
    <row r="12" spans="1:4" x14ac:dyDescent="0.25">
      <c r="A12" s="19" t="s">
        <v>13</v>
      </c>
      <c r="B12" s="19">
        <f>SUM(B2:B11)</f>
        <v>24</v>
      </c>
      <c r="C12" s="19">
        <f t="shared" ref="C12:D12" si="0">SUM(C2:C11)</f>
        <v>23</v>
      </c>
      <c r="D12" s="19">
        <f t="shared" si="0"/>
        <v>18</v>
      </c>
    </row>
    <row r="13" spans="1:4" x14ac:dyDescent="0.25">
      <c r="A13" s="2"/>
      <c r="B13" s="2"/>
      <c r="C13" s="2"/>
      <c r="D13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F278-3573-456D-9F04-D37AF5426834}">
  <dimension ref="A1:H16"/>
  <sheetViews>
    <sheetView zoomScale="160" zoomScaleNormal="160" workbookViewId="0">
      <selection activeCell="D19" sqref="D19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17" t="s">
        <v>18</v>
      </c>
      <c r="B1" s="17" t="s">
        <v>19</v>
      </c>
      <c r="C1" s="18" t="s">
        <v>21</v>
      </c>
      <c r="D1" s="18"/>
      <c r="E1" s="18" t="s">
        <v>12</v>
      </c>
      <c r="F1" s="18"/>
      <c r="G1" s="18" t="s">
        <v>17</v>
      </c>
      <c r="H1" s="18"/>
    </row>
    <row r="2" spans="1:8" x14ac:dyDescent="0.25">
      <c r="A2" s="17" t="s">
        <v>9</v>
      </c>
      <c r="B2" s="17" t="s">
        <v>11</v>
      </c>
      <c r="C2" s="17" t="s">
        <v>36</v>
      </c>
      <c r="D2" s="17" t="s">
        <v>37</v>
      </c>
      <c r="E2" s="17" t="s">
        <v>36</v>
      </c>
      <c r="F2" s="17" t="s">
        <v>37</v>
      </c>
      <c r="G2" s="17" t="s">
        <v>36</v>
      </c>
      <c r="H2" s="17" t="s">
        <v>37</v>
      </c>
    </row>
    <row r="3" spans="1:8" x14ac:dyDescent="0.25">
      <c r="A3" s="3" t="s">
        <v>1</v>
      </c>
      <c r="B3" s="3" t="e" cm="1">
        <f t="array" ref="B3">INDEX(Szenarien!B:K, $B$1+1, 1)</f>
        <v>#VALUE!</v>
      </c>
      <c r="C3" s="3">
        <f>Lösungen!B2</f>
        <v>1</v>
      </c>
      <c r="D3" s="3" t="e">
        <f>PRODUCT(B3,C3)</f>
        <v>#VALUE!</v>
      </c>
      <c r="E3" s="3">
        <f>Lösungen!C2</f>
        <v>2</v>
      </c>
      <c r="F3" s="3" t="e">
        <f>PRODUCT(B3,E3)</f>
        <v>#VALUE!</v>
      </c>
      <c r="G3" s="3">
        <f>Lösungen!D2</f>
        <v>3</v>
      </c>
      <c r="H3" s="3" t="e">
        <f>PRODUCT(B3,G3)</f>
        <v>#VALUE!</v>
      </c>
    </row>
    <row r="4" spans="1:8" x14ac:dyDescent="0.25">
      <c r="A4" s="3" t="s">
        <v>7</v>
      </c>
      <c r="B4" s="3" t="e" cm="1">
        <f t="array" ref="B4">INDEX(Szenarien!B:K, $B$1+1, 2)</f>
        <v>#VALUE!</v>
      </c>
      <c r="C4" s="3">
        <f>Lösungen!B3</f>
        <v>3</v>
      </c>
      <c r="D4" s="3" t="e">
        <f>PRODUCT(B4,C4)</f>
        <v>#VALUE!</v>
      </c>
      <c r="E4" s="3">
        <f>Lösungen!C3</f>
        <v>3</v>
      </c>
      <c r="F4" s="3" t="e">
        <f>PRODUCT(B4,E4)</f>
        <v>#VALUE!</v>
      </c>
      <c r="G4" s="3">
        <f>Lösungen!D3</f>
        <v>1</v>
      </c>
      <c r="H4" s="3" t="e">
        <f>PRODUCT(B4,G4)</f>
        <v>#VALUE!</v>
      </c>
    </row>
    <row r="5" spans="1:8" x14ac:dyDescent="0.25">
      <c r="A5" s="3" t="s">
        <v>8</v>
      </c>
      <c r="B5" s="3" t="e" cm="1">
        <f t="array" ref="B5">INDEX(Szenarien!B:K, $B$1+1, 3)</f>
        <v>#VALUE!</v>
      </c>
      <c r="C5" s="3">
        <f>Lösungen!B4</f>
        <v>1</v>
      </c>
      <c r="D5" s="3" t="e">
        <f t="shared" ref="D5:D12" si="0">PRODUCT(B5,C5)</f>
        <v>#VALUE!</v>
      </c>
      <c r="E5" s="3">
        <f>Lösungen!C4</f>
        <v>3</v>
      </c>
      <c r="F5" s="3" t="e">
        <f t="shared" ref="F5:F12" si="1">PRODUCT(B5,E5)</f>
        <v>#VALUE!</v>
      </c>
      <c r="G5" s="3">
        <f>Lösungen!D4</f>
        <v>2</v>
      </c>
      <c r="H5" s="3" t="e">
        <f t="shared" ref="H5:H12" si="2">PRODUCT(B5,G5)</f>
        <v>#VALUE!</v>
      </c>
    </row>
    <row r="6" spans="1:8" x14ac:dyDescent="0.25">
      <c r="A6" s="3" t="s">
        <v>2</v>
      </c>
      <c r="B6" s="3" t="e" cm="1">
        <f t="array" ref="B6">INDEX(Szenarien!B:K, $B$1+1, 4)</f>
        <v>#VALUE!</v>
      </c>
      <c r="C6" s="3">
        <f>Lösungen!B5</f>
        <v>3</v>
      </c>
      <c r="D6" s="3" t="e">
        <f t="shared" si="0"/>
        <v>#VALUE!</v>
      </c>
      <c r="E6" s="3">
        <f>Lösungen!C5</f>
        <v>3</v>
      </c>
      <c r="F6" s="3" t="e">
        <f t="shared" si="1"/>
        <v>#VALUE!</v>
      </c>
      <c r="G6" s="3">
        <f>Lösungen!D5</f>
        <v>3</v>
      </c>
      <c r="H6" s="3" t="e">
        <f t="shared" si="2"/>
        <v>#VALUE!</v>
      </c>
    </row>
    <row r="7" spans="1:8" x14ac:dyDescent="0.25">
      <c r="A7" s="3" t="s">
        <v>3</v>
      </c>
      <c r="B7" s="3" t="e" cm="1">
        <f t="array" ref="B7">INDEX(Szenarien!B:K, $B$1+1, 5)</f>
        <v>#VALUE!</v>
      </c>
      <c r="C7" s="3">
        <f>Lösungen!B6</f>
        <v>3</v>
      </c>
      <c r="D7" s="3" t="e">
        <f t="shared" si="0"/>
        <v>#VALUE!</v>
      </c>
      <c r="E7" s="3">
        <f>Lösungen!C6</f>
        <v>2</v>
      </c>
      <c r="F7" s="3" t="e">
        <f t="shared" si="1"/>
        <v>#VALUE!</v>
      </c>
      <c r="G7" s="3">
        <f>Lösungen!D6</f>
        <v>2</v>
      </c>
      <c r="H7" s="3" t="e">
        <f t="shared" si="2"/>
        <v>#VALUE!</v>
      </c>
    </row>
    <row r="8" spans="1:8" x14ac:dyDescent="0.25">
      <c r="A8" s="3" t="s">
        <v>10</v>
      </c>
      <c r="B8" s="3" t="e" cm="1">
        <f t="array" ref="B8">INDEX(Szenarien!B:K, $B$1+1, 6)</f>
        <v>#VALUE!</v>
      </c>
      <c r="C8" s="3">
        <f>Lösungen!B7</f>
        <v>3</v>
      </c>
      <c r="D8" s="3" t="e">
        <f t="shared" si="0"/>
        <v>#VALUE!</v>
      </c>
      <c r="E8" s="3">
        <f>Lösungen!C7</f>
        <v>2</v>
      </c>
      <c r="F8" s="3" t="e">
        <f t="shared" si="1"/>
        <v>#VALUE!</v>
      </c>
      <c r="G8" s="3">
        <f>Lösungen!D7</f>
        <v>1</v>
      </c>
      <c r="H8" s="3" t="e">
        <f t="shared" si="2"/>
        <v>#VALUE!</v>
      </c>
    </row>
    <row r="9" spans="1:8" x14ac:dyDescent="0.25">
      <c r="A9" s="3" t="s">
        <v>5</v>
      </c>
      <c r="B9" s="3" t="e" cm="1">
        <f t="array" ref="B9">INDEX(Szenarien!B:K, $B$1+1, 7)</f>
        <v>#VALUE!</v>
      </c>
      <c r="C9" s="3">
        <f>Lösungen!B8</f>
        <v>2</v>
      </c>
      <c r="D9" s="3" t="e">
        <f t="shared" si="0"/>
        <v>#VALUE!</v>
      </c>
      <c r="E9" s="3">
        <f>Lösungen!C8</f>
        <v>3</v>
      </c>
      <c r="F9" s="3" t="e">
        <f t="shared" si="1"/>
        <v>#VALUE!</v>
      </c>
      <c r="G9" s="3">
        <f>Lösungen!D8</f>
        <v>1</v>
      </c>
      <c r="H9" s="3" t="e">
        <f t="shared" si="2"/>
        <v>#VALUE!</v>
      </c>
    </row>
    <row r="10" spans="1:8" x14ac:dyDescent="0.25">
      <c r="A10" s="3" t="s">
        <v>15</v>
      </c>
      <c r="B10" s="3" t="e" cm="1">
        <f t="array" ref="B10">INDEX(Szenarien!B:K, $B$1+1, 8)</f>
        <v>#VALUE!</v>
      </c>
      <c r="C10" s="3">
        <f>Lösungen!B9</f>
        <v>2</v>
      </c>
      <c r="D10" s="3" t="e">
        <f>PRODUCT(B10,C10)</f>
        <v>#VALUE!</v>
      </c>
      <c r="E10" s="3">
        <f>Lösungen!C9</f>
        <v>3</v>
      </c>
      <c r="F10" s="3" t="e">
        <f>PRODUCT(B10,E10)</f>
        <v>#VALUE!</v>
      </c>
      <c r="G10" s="3">
        <f>Lösungen!D9</f>
        <v>1</v>
      </c>
      <c r="H10" s="3" t="e">
        <f>PRODUCT(B10,G10)</f>
        <v>#VALUE!</v>
      </c>
    </row>
    <row r="11" spans="1:8" x14ac:dyDescent="0.25">
      <c r="A11" s="3" t="s">
        <v>20</v>
      </c>
      <c r="B11" s="3" t="e" cm="1">
        <f t="array" ref="B11">INDEX(Szenarien!B:K, $B$1+1, 9)</f>
        <v>#VALUE!</v>
      </c>
      <c r="C11" s="3">
        <f>Lösungen!B10</f>
        <v>3</v>
      </c>
      <c r="D11" s="3" t="e">
        <f>PRODUCT(B11,C11)</f>
        <v>#VALUE!</v>
      </c>
      <c r="E11" s="3">
        <f>Lösungen!C10</f>
        <v>1</v>
      </c>
      <c r="F11" s="3" t="e">
        <f>PRODUCT(B11,E11)</f>
        <v>#VALUE!</v>
      </c>
      <c r="G11" s="3">
        <f>Lösungen!D10</f>
        <v>2</v>
      </c>
      <c r="H11" s="3" t="e">
        <f>PRODUCT(B11,G11)</f>
        <v>#VALUE!</v>
      </c>
    </row>
    <row r="12" spans="1:8" x14ac:dyDescent="0.25">
      <c r="A12" s="3" t="s">
        <v>6</v>
      </c>
      <c r="B12" s="3" t="e" cm="1">
        <f t="array" ref="B12">INDEX(Szenarien!B:K, $B$1+1, 10)</f>
        <v>#VALUE!</v>
      </c>
      <c r="C12" s="3">
        <f>Lösungen!B11</f>
        <v>3</v>
      </c>
      <c r="D12" s="3" t="e">
        <f t="shared" si="0"/>
        <v>#VALUE!</v>
      </c>
      <c r="E12" s="3">
        <f>Lösungen!C11</f>
        <v>1</v>
      </c>
      <c r="F12" s="3" t="e">
        <f t="shared" si="1"/>
        <v>#VALUE!</v>
      </c>
      <c r="G12" s="3">
        <f>Lösungen!D11</f>
        <v>2</v>
      </c>
      <c r="H12" s="3" t="e">
        <f t="shared" si="2"/>
        <v>#VALUE!</v>
      </c>
    </row>
    <row r="13" spans="1:8" x14ac:dyDescent="0.25">
      <c r="A13" s="19" t="s">
        <v>13</v>
      </c>
      <c r="B13" s="19" t="e">
        <f>SUM(B3:B12)</f>
        <v>#VALUE!</v>
      </c>
      <c r="C13" s="19"/>
      <c r="D13" s="19" t="e">
        <f t="shared" ref="D13:H13" si="3">SUM(D3:D12)</f>
        <v>#VALUE!</v>
      </c>
      <c r="E13" s="19"/>
      <c r="F13" s="19" t="e">
        <f t="shared" si="3"/>
        <v>#VALUE!</v>
      </c>
      <c r="G13" s="19"/>
      <c r="H13" s="19" t="e">
        <f t="shared" si="3"/>
        <v>#VALUE!</v>
      </c>
    </row>
    <row r="14" spans="1:8" x14ac:dyDescent="0.25">
      <c r="A14" s="19" t="s">
        <v>38</v>
      </c>
      <c r="B14" s="19"/>
      <c r="C14" s="19"/>
      <c r="D14" s="19" t="e">
        <f>(D13-100)/2</f>
        <v>#VALUE!</v>
      </c>
      <c r="E14" s="19"/>
      <c r="F14" s="19" t="e">
        <f>(F13-100)/2</f>
        <v>#VALUE!</v>
      </c>
      <c r="G14" s="19"/>
      <c r="H14" s="19" t="e">
        <f>(H13-100)/2</f>
        <v>#VALUE!</v>
      </c>
    </row>
    <row r="15" spans="1:8" x14ac:dyDescent="0.25">
      <c r="A15" s="19" t="s">
        <v>14</v>
      </c>
      <c r="B15" s="19"/>
      <c r="C15" s="19"/>
      <c r="D15" s="19" t="e">
        <f>1+(F13&gt;D13)+(H13&gt;D13)</f>
        <v>#VALUE!</v>
      </c>
      <c r="E15" s="19"/>
      <c r="F15" s="19" t="e">
        <f>1+(D13&gt;F13)+(H13&gt;F13)</f>
        <v>#VALUE!</v>
      </c>
      <c r="G15" s="19"/>
      <c r="H15" s="19" t="e">
        <f>1+(D13&gt;H13)+(F13&gt;H13)</f>
        <v>#VALUE!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8880-D037-4F7B-AF8F-E0B2DBB4D0DD}">
  <dimension ref="A1:H16"/>
  <sheetViews>
    <sheetView zoomScale="160" zoomScaleNormal="160" workbookViewId="0">
      <selection activeCell="F19" sqref="F19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17" t="s">
        <v>18</v>
      </c>
      <c r="B1" s="17">
        <v>1</v>
      </c>
      <c r="C1" s="18" t="s">
        <v>21</v>
      </c>
      <c r="D1" s="18"/>
      <c r="E1" s="18" t="s">
        <v>12</v>
      </c>
      <c r="F1" s="18"/>
      <c r="G1" s="18" t="s">
        <v>17</v>
      </c>
      <c r="H1" s="18"/>
    </row>
    <row r="2" spans="1:8" x14ac:dyDescent="0.25">
      <c r="A2" s="17" t="s">
        <v>9</v>
      </c>
      <c r="B2" s="17" t="s">
        <v>11</v>
      </c>
      <c r="C2" s="17" t="s">
        <v>36</v>
      </c>
      <c r="D2" s="17" t="s">
        <v>37</v>
      </c>
      <c r="E2" s="17" t="s">
        <v>36</v>
      </c>
      <c r="F2" s="17" t="s">
        <v>37</v>
      </c>
      <c r="G2" s="17" t="s">
        <v>36</v>
      </c>
      <c r="H2" s="17" t="s">
        <v>37</v>
      </c>
    </row>
    <row r="3" spans="1:8" x14ac:dyDescent="0.25">
      <c r="A3" s="3" t="s">
        <v>1</v>
      </c>
      <c r="B3" s="3" cm="1">
        <f t="array" ref="B3">INDEX(Szenarien!B:K, $B$1+1, 1)</f>
        <v>32.5</v>
      </c>
      <c r="C3" s="3">
        <f>Lösungen!B2</f>
        <v>1</v>
      </c>
      <c r="D3" s="3">
        <f>PRODUCT(B3,C3)</f>
        <v>32.5</v>
      </c>
      <c r="E3" s="3">
        <f>Lösungen!C2</f>
        <v>2</v>
      </c>
      <c r="F3" s="3">
        <f>PRODUCT(B3,E3)</f>
        <v>65</v>
      </c>
      <c r="G3" s="3">
        <f>Lösungen!D2</f>
        <v>3</v>
      </c>
      <c r="H3" s="3">
        <f>PRODUCT(B3,G3)</f>
        <v>97.5</v>
      </c>
    </row>
    <row r="4" spans="1:8" x14ac:dyDescent="0.25">
      <c r="A4" s="3" t="s">
        <v>7</v>
      </c>
      <c r="B4" s="3" cm="1">
        <f t="array" ref="B4">INDEX(Szenarien!B:K, $B$1+1, 2)</f>
        <v>5</v>
      </c>
      <c r="C4" s="3">
        <f>Lösungen!B3</f>
        <v>3</v>
      </c>
      <c r="D4" s="3">
        <f>PRODUCT(B4,C4)</f>
        <v>15</v>
      </c>
      <c r="E4" s="3">
        <f>Lösungen!C3</f>
        <v>3</v>
      </c>
      <c r="F4" s="3">
        <f>PRODUCT(B4,E4)</f>
        <v>15</v>
      </c>
      <c r="G4" s="3">
        <f>Lösungen!D3</f>
        <v>1</v>
      </c>
      <c r="H4" s="3">
        <f>PRODUCT(B4,G4)</f>
        <v>5</v>
      </c>
    </row>
    <row r="5" spans="1:8" x14ac:dyDescent="0.25">
      <c r="A5" s="3" t="s">
        <v>8</v>
      </c>
      <c r="B5" s="3" cm="1">
        <f t="array" ref="B5">INDEX(Szenarien!B:K, $B$1+1, 3)</f>
        <v>0</v>
      </c>
      <c r="C5" s="3">
        <f>Lösungen!B4</f>
        <v>1</v>
      </c>
      <c r="D5" s="3">
        <f t="shared" ref="D5:D9" si="0">PRODUCT(B5,C5)</f>
        <v>0</v>
      </c>
      <c r="E5" s="3">
        <f>Lösungen!C4</f>
        <v>3</v>
      </c>
      <c r="F5" s="3">
        <f t="shared" ref="F5:F9" si="1">PRODUCT(B5,E5)</f>
        <v>0</v>
      </c>
      <c r="G5" s="3">
        <f>Lösungen!D4</f>
        <v>2</v>
      </c>
      <c r="H5" s="3">
        <f t="shared" ref="H5:H9" si="2">PRODUCT(B5,G5)</f>
        <v>0</v>
      </c>
    </row>
    <row r="6" spans="1:8" x14ac:dyDescent="0.25">
      <c r="A6" s="3" t="s">
        <v>2</v>
      </c>
      <c r="B6" s="3" cm="1">
        <f t="array" ref="B6">INDEX(Szenarien!B:K, $B$1+1, 4)</f>
        <v>32.5</v>
      </c>
      <c r="C6" s="3">
        <f>Lösungen!B5</f>
        <v>3</v>
      </c>
      <c r="D6" s="3">
        <f t="shared" si="0"/>
        <v>97.5</v>
      </c>
      <c r="E6" s="3">
        <f>Lösungen!C5</f>
        <v>3</v>
      </c>
      <c r="F6" s="3">
        <f t="shared" si="1"/>
        <v>97.5</v>
      </c>
      <c r="G6" s="3">
        <f>Lösungen!D5</f>
        <v>3</v>
      </c>
      <c r="H6" s="3">
        <f t="shared" si="2"/>
        <v>97.5</v>
      </c>
    </row>
    <row r="7" spans="1:8" x14ac:dyDescent="0.25">
      <c r="A7" s="3" t="s">
        <v>3</v>
      </c>
      <c r="B7" s="3" cm="1">
        <f t="array" ref="B7">INDEX(Szenarien!B:K, $B$1+1, 5)</f>
        <v>10</v>
      </c>
      <c r="C7" s="3">
        <f>Lösungen!B6</f>
        <v>3</v>
      </c>
      <c r="D7" s="3">
        <f t="shared" si="0"/>
        <v>30</v>
      </c>
      <c r="E7" s="3">
        <f>Lösungen!C6</f>
        <v>2</v>
      </c>
      <c r="F7" s="3">
        <f t="shared" si="1"/>
        <v>20</v>
      </c>
      <c r="G7" s="3">
        <f>Lösungen!D6</f>
        <v>2</v>
      </c>
      <c r="H7" s="3">
        <f t="shared" si="2"/>
        <v>20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5</v>
      </c>
      <c r="C9" s="3">
        <f>Lösungen!B8</f>
        <v>2</v>
      </c>
      <c r="D9" s="3">
        <f t="shared" si="0"/>
        <v>10</v>
      </c>
      <c r="E9" s="3">
        <f>Lösungen!C8</f>
        <v>3</v>
      </c>
      <c r="F9" s="3">
        <f t="shared" si="1"/>
        <v>15</v>
      </c>
      <c r="G9" s="3">
        <f>Lösungen!D8</f>
        <v>1</v>
      </c>
      <c r="H9" s="3">
        <f t="shared" si="2"/>
        <v>5</v>
      </c>
    </row>
    <row r="10" spans="1:8" x14ac:dyDescent="0.25">
      <c r="A10" s="3" t="s">
        <v>15</v>
      </c>
      <c r="B10" s="3" cm="1">
        <f t="array" ref="B10">INDEX(Szenarien!B:K, $B$1+1, 8)</f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 cm="1">
        <f t="array" ref="B11">INDEX(Szenarien!B:K, $B$1+1, 9)</f>
        <v>10</v>
      </c>
      <c r="C11" s="3">
        <f>Lösungen!B10</f>
        <v>3</v>
      </c>
      <c r="D11" s="3">
        <f>PRODUCT(B11,C11)</f>
        <v>30</v>
      </c>
      <c r="E11" s="3">
        <f>Lösungen!C10</f>
        <v>1</v>
      </c>
      <c r="F11" s="3">
        <f>PRODUCT(B11,E11)</f>
        <v>10</v>
      </c>
      <c r="G11" s="3">
        <f>Lösungen!D10</f>
        <v>2</v>
      </c>
      <c r="H11" s="3">
        <f>PRODUCT(B11,G11)</f>
        <v>20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19" t="s">
        <v>13</v>
      </c>
      <c r="B13" s="19">
        <f>SUM(B3:B12)</f>
        <v>100</v>
      </c>
      <c r="C13" s="19"/>
      <c r="D13" s="19">
        <f t="shared" ref="D13:H13" si="6">SUM(D3:D12)</f>
        <v>230</v>
      </c>
      <c r="E13" s="19"/>
      <c r="F13" s="19">
        <f t="shared" si="6"/>
        <v>227.5</v>
      </c>
      <c r="G13" s="19"/>
      <c r="H13" s="19">
        <f t="shared" si="6"/>
        <v>255</v>
      </c>
    </row>
    <row r="14" spans="1:8" x14ac:dyDescent="0.25">
      <c r="A14" s="19" t="s">
        <v>38</v>
      </c>
      <c r="B14" s="19"/>
      <c r="C14" s="19"/>
      <c r="D14" s="19">
        <f>(D13-100)/2</f>
        <v>65</v>
      </c>
      <c r="E14" s="19"/>
      <c r="F14" s="19">
        <f>(F13-100)/2</f>
        <v>63.75</v>
      </c>
      <c r="G14" s="19"/>
      <c r="H14" s="19">
        <f>(H13-100)/2</f>
        <v>77.5</v>
      </c>
    </row>
    <row r="15" spans="1:8" x14ac:dyDescent="0.25">
      <c r="A15" s="19" t="s">
        <v>14</v>
      </c>
      <c r="B15" s="19"/>
      <c r="C15" s="19"/>
      <c r="D15" s="19">
        <f>1+(F13&gt;D13)+(H13&gt;D13)</f>
        <v>2</v>
      </c>
      <c r="E15" s="19"/>
      <c r="F15" s="19">
        <f>1+(D13&gt;F13)+(H13&gt;F13)</f>
        <v>3</v>
      </c>
      <c r="G15" s="19"/>
      <c r="H15" s="19">
        <f>1+(D13&gt;H13)+(F13&gt;H13)</f>
        <v>1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9049-AE8F-48E7-96CF-575B5EEDD492}">
  <dimension ref="A1:H16"/>
  <sheetViews>
    <sheetView zoomScale="160" zoomScaleNormal="160" workbookViewId="0">
      <selection activeCell="D18" sqref="D18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17" t="s">
        <v>18</v>
      </c>
      <c r="B1" s="17">
        <v>2</v>
      </c>
      <c r="C1" s="18" t="s">
        <v>21</v>
      </c>
      <c r="D1" s="18"/>
      <c r="E1" s="18" t="s">
        <v>12</v>
      </c>
      <c r="F1" s="18"/>
      <c r="G1" s="18" t="s">
        <v>17</v>
      </c>
      <c r="H1" s="18"/>
    </row>
    <row r="2" spans="1:8" x14ac:dyDescent="0.25">
      <c r="A2" s="17" t="s">
        <v>9</v>
      </c>
      <c r="B2" s="17" t="s">
        <v>11</v>
      </c>
      <c r="C2" s="17" t="s">
        <v>36</v>
      </c>
      <c r="D2" s="17" t="s">
        <v>37</v>
      </c>
      <c r="E2" s="17" t="s">
        <v>36</v>
      </c>
      <c r="F2" s="17" t="s">
        <v>37</v>
      </c>
      <c r="G2" s="17" t="s">
        <v>36</v>
      </c>
      <c r="H2" s="17" t="s">
        <v>37</v>
      </c>
    </row>
    <row r="3" spans="1:8" x14ac:dyDescent="0.25">
      <c r="A3" s="3" t="s">
        <v>1</v>
      </c>
      <c r="B3" s="3" cm="1">
        <f t="array" ref="B3">INDEX(Szenarien!B:K, $B$1+1, 1)</f>
        <v>15</v>
      </c>
      <c r="C3" s="3">
        <f>Lösungen!B2</f>
        <v>1</v>
      </c>
      <c r="D3" s="3">
        <f>PRODUCT(B3,C3)</f>
        <v>15</v>
      </c>
      <c r="E3" s="3">
        <f>Lösungen!C2</f>
        <v>2</v>
      </c>
      <c r="F3" s="3">
        <f>PRODUCT(B3,E3)</f>
        <v>30</v>
      </c>
      <c r="G3" s="3">
        <f>Lösungen!D2</f>
        <v>3</v>
      </c>
      <c r="H3" s="3">
        <f>PRODUCT(B3,G3)</f>
        <v>45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15</v>
      </c>
      <c r="C5" s="3">
        <f>Lösungen!B4</f>
        <v>1</v>
      </c>
      <c r="D5" s="3">
        <f t="shared" ref="D5:D9" si="0">PRODUCT(B5,C5)</f>
        <v>15</v>
      </c>
      <c r="E5" s="3">
        <f>Lösungen!C4</f>
        <v>3</v>
      </c>
      <c r="F5" s="3">
        <f t="shared" ref="F5:F9" si="1">PRODUCT(B5,E5)</f>
        <v>45</v>
      </c>
      <c r="G5" s="3">
        <f>Lösungen!D4</f>
        <v>2</v>
      </c>
      <c r="H5" s="3">
        <f t="shared" ref="H5:H9" si="2">PRODUCT(B5,G5)</f>
        <v>30</v>
      </c>
    </row>
    <row r="6" spans="1:8" x14ac:dyDescent="0.25">
      <c r="A6" s="3" t="s">
        <v>2</v>
      </c>
      <c r="B6" s="3" cm="1">
        <f t="array" ref="B6">INDEX(Szenarien!B:K, $B$1+1, 4)</f>
        <v>5</v>
      </c>
      <c r="C6" s="3">
        <f>Lösungen!B5</f>
        <v>3</v>
      </c>
      <c r="D6" s="3">
        <f t="shared" si="0"/>
        <v>15</v>
      </c>
      <c r="E6" s="3">
        <f>Lösungen!C5</f>
        <v>3</v>
      </c>
      <c r="F6" s="3">
        <f t="shared" si="1"/>
        <v>15</v>
      </c>
      <c r="G6" s="3">
        <f>Lösungen!D5</f>
        <v>3</v>
      </c>
      <c r="H6" s="3">
        <f t="shared" si="2"/>
        <v>15</v>
      </c>
    </row>
    <row r="7" spans="1:8" x14ac:dyDescent="0.25">
      <c r="A7" s="3" t="s">
        <v>3</v>
      </c>
      <c r="B7" s="3" cm="1">
        <f t="array" ref="B7">INDEX(Szenarien!B:K, $B$1+1, 5)</f>
        <v>15</v>
      </c>
      <c r="C7" s="3">
        <f>Lösungen!B6</f>
        <v>3</v>
      </c>
      <c r="D7" s="3">
        <f t="shared" si="0"/>
        <v>45</v>
      </c>
      <c r="E7" s="3">
        <f>Lösungen!C6</f>
        <v>2</v>
      </c>
      <c r="F7" s="3">
        <f t="shared" si="1"/>
        <v>30</v>
      </c>
      <c r="G7" s="3">
        <f>Lösungen!D6</f>
        <v>2</v>
      </c>
      <c r="H7" s="3">
        <f t="shared" si="2"/>
        <v>30</v>
      </c>
    </row>
    <row r="8" spans="1:8" x14ac:dyDescent="0.25">
      <c r="A8" s="3" t="s">
        <v>10</v>
      </c>
      <c r="B8" s="3" cm="1">
        <f t="array" ref="B8">INDEX(Szenarien!B:K, $B$1+1, 6)</f>
        <v>15</v>
      </c>
      <c r="C8" s="3">
        <f>Lösungen!B7</f>
        <v>3</v>
      </c>
      <c r="D8" s="3">
        <f t="shared" si="0"/>
        <v>45</v>
      </c>
      <c r="E8" s="3">
        <f>Lösungen!C7</f>
        <v>2</v>
      </c>
      <c r="F8" s="3">
        <f t="shared" si="1"/>
        <v>30</v>
      </c>
      <c r="G8" s="3">
        <f>Lösungen!D7</f>
        <v>1</v>
      </c>
      <c r="H8" s="3">
        <f t="shared" si="2"/>
        <v>15</v>
      </c>
    </row>
    <row r="9" spans="1:8" x14ac:dyDescent="0.25">
      <c r="A9" s="3" t="s">
        <v>5</v>
      </c>
      <c r="B9" s="3" cm="1">
        <f t="array" ref="B9">INDEX(Szenarien!B:K, $B$1+1, 7)</f>
        <v>5</v>
      </c>
      <c r="C9" s="3">
        <f>Lösungen!B8</f>
        <v>2</v>
      </c>
      <c r="D9" s="3">
        <f t="shared" si="0"/>
        <v>10</v>
      </c>
      <c r="E9" s="3">
        <f>Lösungen!C8</f>
        <v>3</v>
      </c>
      <c r="F9" s="3">
        <f t="shared" si="1"/>
        <v>15</v>
      </c>
      <c r="G9" s="3">
        <f>Lösungen!D8</f>
        <v>1</v>
      </c>
      <c r="H9" s="3">
        <f t="shared" si="2"/>
        <v>5</v>
      </c>
    </row>
    <row r="10" spans="1:8" x14ac:dyDescent="0.25">
      <c r="A10" s="3" t="s">
        <v>15</v>
      </c>
      <c r="B10" s="3" cm="1">
        <f t="array" ref="B10">INDEX(Szenarien!B:K, $B$1+1, 8)</f>
        <v>0</v>
      </c>
      <c r="C10" s="3">
        <f>Lösungen!B9</f>
        <v>2</v>
      </c>
      <c r="D10" s="3">
        <f>PRODUCT(B10,C10)</f>
        <v>0</v>
      </c>
      <c r="E10" s="3">
        <f>Lösungen!C9</f>
        <v>3</v>
      </c>
      <c r="F10" s="3">
        <f>PRODUCT(B10,E10)</f>
        <v>0</v>
      </c>
      <c r="G10" s="3">
        <f>Lösungen!D9</f>
        <v>1</v>
      </c>
      <c r="H10" s="3">
        <f>PRODUCT(B10,G10)</f>
        <v>0</v>
      </c>
    </row>
    <row r="11" spans="1:8" x14ac:dyDescent="0.25">
      <c r="A11" s="3" t="s">
        <v>20</v>
      </c>
      <c r="B11" s="3" cm="1">
        <f t="array" ref="B11">INDEX(Szenarien!B:K, $B$1+1, 9)</f>
        <v>15</v>
      </c>
      <c r="C11" s="3">
        <f>Lösungen!B10</f>
        <v>3</v>
      </c>
      <c r="D11" s="3">
        <f>PRODUCT(B11,C11)</f>
        <v>45</v>
      </c>
      <c r="E11" s="3">
        <f>Lösungen!C10</f>
        <v>1</v>
      </c>
      <c r="F11" s="3">
        <f>PRODUCT(B11,E11)</f>
        <v>15</v>
      </c>
      <c r="G11" s="3">
        <f>Lösungen!D10</f>
        <v>2</v>
      </c>
      <c r="H11" s="3">
        <f>PRODUCT(B11,G11)</f>
        <v>30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19" t="s">
        <v>13</v>
      </c>
      <c r="B13" s="19">
        <f>SUM(B3:B12)</f>
        <v>100</v>
      </c>
      <c r="C13" s="19"/>
      <c r="D13" s="19">
        <f t="shared" ref="D13:H13" si="6">SUM(D3:D12)</f>
        <v>235</v>
      </c>
      <c r="E13" s="19"/>
      <c r="F13" s="19">
        <f t="shared" si="6"/>
        <v>215</v>
      </c>
      <c r="G13" s="19"/>
      <c r="H13" s="19">
        <f t="shared" si="6"/>
        <v>190</v>
      </c>
    </row>
    <row r="14" spans="1:8" x14ac:dyDescent="0.25">
      <c r="A14" s="19" t="s">
        <v>38</v>
      </c>
      <c r="B14" s="19"/>
      <c r="C14" s="19"/>
      <c r="D14" s="19">
        <f>(D13-100)/2</f>
        <v>67.5</v>
      </c>
      <c r="E14" s="19"/>
      <c r="F14" s="19">
        <f>(F13-100)/2</f>
        <v>57.5</v>
      </c>
      <c r="G14" s="19"/>
      <c r="H14" s="19">
        <f>(H13-100)/2</f>
        <v>45</v>
      </c>
    </row>
    <row r="15" spans="1:8" x14ac:dyDescent="0.25">
      <c r="A15" s="19" t="s">
        <v>14</v>
      </c>
      <c r="B15" s="19"/>
      <c r="C15" s="19"/>
      <c r="D15" s="19">
        <f>1+(F13&gt;D13)+(H13&gt;D13)</f>
        <v>1</v>
      </c>
      <c r="E15" s="19"/>
      <c r="F15" s="19">
        <f>1+(D13&gt;F13)+(H13&gt;F13)</f>
        <v>2</v>
      </c>
      <c r="G15" s="19"/>
      <c r="H15" s="19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3448-F0BC-46FC-BBB4-E081BD91570E}">
  <dimension ref="A1:H16"/>
  <sheetViews>
    <sheetView zoomScale="160" zoomScaleNormal="160" workbookViewId="0">
      <selection activeCell="D18" sqref="D18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17" t="s">
        <v>18</v>
      </c>
      <c r="B1" s="17">
        <v>3</v>
      </c>
      <c r="C1" s="18" t="s">
        <v>21</v>
      </c>
      <c r="D1" s="18"/>
      <c r="E1" s="18" t="s">
        <v>12</v>
      </c>
      <c r="F1" s="18"/>
      <c r="G1" s="18" t="s">
        <v>17</v>
      </c>
      <c r="H1" s="18"/>
    </row>
    <row r="2" spans="1:8" x14ac:dyDescent="0.25">
      <c r="A2" s="17" t="s">
        <v>9</v>
      </c>
      <c r="B2" s="17" t="s">
        <v>11</v>
      </c>
      <c r="C2" s="17" t="s">
        <v>36</v>
      </c>
      <c r="D2" s="17" t="s">
        <v>37</v>
      </c>
      <c r="E2" s="17" t="s">
        <v>36</v>
      </c>
      <c r="F2" s="17" t="s">
        <v>37</v>
      </c>
      <c r="G2" s="17" t="s">
        <v>36</v>
      </c>
      <c r="H2" s="17" t="s">
        <v>37</v>
      </c>
    </row>
    <row r="3" spans="1:8" x14ac:dyDescent="0.25">
      <c r="A3" s="3" t="s">
        <v>1</v>
      </c>
      <c r="B3" s="3" cm="1">
        <f t="array" ref="B3">INDEX(Szenarien!B:K, $B$1+1, 1)</f>
        <v>15</v>
      </c>
      <c r="C3" s="3">
        <f>Lösungen!B2</f>
        <v>1</v>
      </c>
      <c r="D3" s="3">
        <f>PRODUCT(B3,C3)</f>
        <v>15</v>
      </c>
      <c r="E3" s="3">
        <f>Lösungen!C2</f>
        <v>2</v>
      </c>
      <c r="F3" s="3">
        <f>PRODUCT(B3,E3)</f>
        <v>30</v>
      </c>
      <c r="G3" s="3">
        <f>Lösungen!D2</f>
        <v>3</v>
      </c>
      <c r="H3" s="3">
        <f>PRODUCT(B3,G3)</f>
        <v>45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15</v>
      </c>
      <c r="C5" s="3">
        <f>Lösungen!B4</f>
        <v>1</v>
      </c>
      <c r="D5" s="3">
        <f t="shared" ref="D5:D9" si="0">PRODUCT(B5,C5)</f>
        <v>15</v>
      </c>
      <c r="E5" s="3">
        <f>Lösungen!C4</f>
        <v>3</v>
      </c>
      <c r="F5" s="3">
        <f t="shared" ref="F5:F9" si="1">PRODUCT(B5,E5)</f>
        <v>45</v>
      </c>
      <c r="G5" s="3">
        <f>Lösungen!D4</f>
        <v>2</v>
      </c>
      <c r="H5" s="3">
        <f t="shared" ref="H5:H9" si="2">PRODUCT(B5,G5)</f>
        <v>30</v>
      </c>
    </row>
    <row r="6" spans="1:8" x14ac:dyDescent="0.25">
      <c r="A6" s="3" t="s">
        <v>2</v>
      </c>
      <c r="B6" s="3" cm="1">
        <f t="array" ref="B6">INDEX(Szenarien!B:K, $B$1+1, 4)</f>
        <v>5</v>
      </c>
      <c r="C6" s="3">
        <f>Lösungen!B5</f>
        <v>3</v>
      </c>
      <c r="D6" s="3">
        <f t="shared" si="0"/>
        <v>15</v>
      </c>
      <c r="E6" s="3">
        <f>Lösungen!C5</f>
        <v>3</v>
      </c>
      <c r="F6" s="3">
        <f t="shared" si="1"/>
        <v>15</v>
      </c>
      <c r="G6" s="3">
        <f>Lösungen!D5</f>
        <v>3</v>
      </c>
      <c r="H6" s="3">
        <f t="shared" si="2"/>
        <v>15</v>
      </c>
    </row>
    <row r="7" spans="1:8" x14ac:dyDescent="0.25">
      <c r="A7" s="3" t="s">
        <v>3</v>
      </c>
      <c r="B7" s="3" cm="1">
        <f t="array" ref="B7">INDEX(Szenarien!B:K, $B$1+1, 5)</f>
        <v>5</v>
      </c>
      <c r="C7" s="3">
        <f>Lösungen!B6</f>
        <v>3</v>
      </c>
      <c r="D7" s="3">
        <f t="shared" si="0"/>
        <v>15</v>
      </c>
      <c r="E7" s="3">
        <f>Lösungen!C6</f>
        <v>2</v>
      </c>
      <c r="F7" s="3">
        <f t="shared" si="1"/>
        <v>10</v>
      </c>
      <c r="G7" s="3">
        <f>Lösungen!D6</f>
        <v>2</v>
      </c>
      <c r="H7" s="3">
        <f t="shared" si="2"/>
        <v>10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15</v>
      </c>
      <c r="C9" s="3">
        <f>Lösungen!B8</f>
        <v>2</v>
      </c>
      <c r="D9" s="3">
        <f t="shared" si="0"/>
        <v>30</v>
      </c>
      <c r="E9" s="3">
        <f>Lösungen!C8</f>
        <v>3</v>
      </c>
      <c r="F9" s="3">
        <f t="shared" si="1"/>
        <v>45</v>
      </c>
      <c r="G9" s="3">
        <f>Lösungen!D8</f>
        <v>1</v>
      </c>
      <c r="H9" s="3">
        <f t="shared" si="2"/>
        <v>15</v>
      </c>
    </row>
    <row r="10" spans="1:8" x14ac:dyDescent="0.25">
      <c r="A10" s="3" t="s">
        <v>15</v>
      </c>
      <c r="B10" s="3" cm="1">
        <f t="array" ref="B10">INDEX(Szenarien!B:K, $B$1+1, 8)</f>
        <v>15</v>
      </c>
      <c r="C10" s="3">
        <f>Lösungen!B9</f>
        <v>2</v>
      </c>
      <c r="D10" s="3">
        <f>PRODUCT(B10,C10)</f>
        <v>30</v>
      </c>
      <c r="E10" s="3">
        <f>Lösungen!C9</f>
        <v>3</v>
      </c>
      <c r="F10" s="3">
        <f>PRODUCT(B10,E10)</f>
        <v>45</v>
      </c>
      <c r="G10" s="3">
        <f>Lösungen!D9</f>
        <v>1</v>
      </c>
      <c r="H10" s="3">
        <f>PRODUCT(B10,G10)</f>
        <v>15</v>
      </c>
    </row>
    <row r="11" spans="1:8" x14ac:dyDescent="0.25">
      <c r="A11" s="3" t="s">
        <v>20</v>
      </c>
      <c r="B11" s="3" cm="1">
        <f t="array" ref="B11">INDEX(Szenarien!B:K, $B$1+1, 9)</f>
        <v>15</v>
      </c>
      <c r="C11" s="3">
        <f>Lösungen!B10</f>
        <v>3</v>
      </c>
      <c r="D11" s="3">
        <f>PRODUCT(B11,C11)</f>
        <v>45</v>
      </c>
      <c r="E11" s="3">
        <f>Lösungen!C10</f>
        <v>1</v>
      </c>
      <c r="F11" s="3">
        <f>PRODUCT(B11,E11)</f>
        <v>15</v>
      </c>
      <c r="G11" s="3">
        <f>Lösungen!D10</f>
        <v>2</v>
      </c>
      <c r="H11" s="3">
        <f>PRODUCT(B11,G11)</f>
        <v>30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19" t="s">
        <v>13</v>
      </c>
      <c r="B13" s="19">
        <f>SUM(B3:B12)</f>
        <v>100</v>
      </c>
      <c r="C13" s="19"/>
      <c r="D13" s="19">
        <f t="shared" ref="D13:H13" si="6">SUM(D3:D12)</f>
        <v>210</v>
      </c>
      <c r="E13" s="19"/>
      <c r="F13" s="19">
        <f t="shared" si="6"/>
        <v>240</v>
      </c>
      <c r="G13" s="19"/>
      <c r="H13" s="19">
        <f t="shared" si="6"/>
        <v>180</v>
      </c>
    </row>
    <row r="14" spans="1:8" x14ac:dyDescent="0.25">
      <c r="A14" s="19" t="s">
        <v>38</v>
      </c>
      <c r="B14" s="19"/>
      <c r="C14" s="19"/>
      <c r="D14" s="19">
        <f>(D13-100)/2</f>
        <v>55</v>
      </c>
      <c r="E14" s="19"/>
      <c r="F14" s="19">
        <f>(F13-100)/2</f>
        <v>70</v>
      </c>
      <c r="G14" s="19"/>
      <c r="H14" s="19">
        <f>(H13-100)/2</f>
        <v>40</v>
      </c>
    </row>
    <row r="15" spans="1:8" x14ac:dyDescent="0.25">
      <c r="A15" s="19" t="s">
        <v>14</v>
      </c>
      <c r="B15" s="19"/>
      <c r="C15" s="19"/>
      <c r="D15" s="19">
        <f>1+(F13&gt;D13)+(H13&gt;D13)</f>
        <v>2</v>
      </c>
      <c r="E15" s="19"/>
      <c r="F15" s="19">
        <f>1+(D13&gt;F13)+(H13&gt;F13)</f>
        <v>1</v>
      </c>
      <c r="G15" s="19"/>
      <c r="H15" s="19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601-A1EC-4140-BB2C-E4DAC592EC40}">
  <dimension ref="A1:H16"/>
  <sheetViews>
    <sheetView zoomScale="160" zoomScaleNormal="160" workbookViewId="0">
      <selection activeCell="D18" sqref="D18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17" t="s">
        <v>18</v>
      </c>
      <c r="B1" s="17">
        <v>4</v>
      </c>
      <c r="C1" s="18" t="s">
        <v>21</v>
      </c>
      <c r="D1" s="18"/>
      <c r="E1" s="18" t="s">
        <v>12</v>
      </c>
      <c r="F1" s="18"/>
      <c r="G1" s="18" t="s">
        <v>17</v>
      </c>
      <c r="H1" s="18"/>
    </row>
    <row r="2" spans="1:8" x14ac:dyDescent="0.25">
      <c r="A2" s="17" t="s">
        <v>9</v>
      </c>
      <c r="B2" s="17" t="s">
        <v>11</v>
      </c>
      <c r="C2" s="17" t="s">
        <v>36</v>
      </c>
      <c r="D2" s="17" t="s">
        <v>37</v>
      </c>
      <c r="E2" s="17" t="s">
        <v>36</v>
      </c>
      <c r="F2" s="17" t="s">
        <v>37</v>
      </c>
      <c r="G2" s="17" t="s">
        <v>36</v>
      </c>
      <c r="H2" s="17" t="s">
        <v>37</v>
      </c>
    </row>
    <row r="3" spans="1:8" x14ac:dyDescent="0.25">
      <c r="A3" s="3" t="s">
        <v>1</v>
      </c>
      <c r="B3" s="3" cm="1">
        <f t="array" ref="B3">INDEX(Szenarien!B:K, $B$1+1, 1)</f>
        <v>10</v>
      </c>
      <c r="C3" s="3">
        <f>Lösungen!B2</f>
        <v>1</v>
      </c>
      <c r="D3" s="3">
        <f>PRODUCT(B3,C3)</f>
        <v>10</v>
      </c>
      <c r="E3" s="3">
        <f>Lösungen!C2</f>
        <v>2</v>
      </c>
      <c r="F3" s="3">
        <f>PRODUCT(B3,E3)</f>
        <v>20</v>
      </c>
      <c r="G3" s="3">
        <f>Lösungen!D2</f>
        <v>3</v>
      </c>
      <c r="H3" s="3">
        <f>PRODUCT(B3,G3)</f>
        <v>30</v>
      </c>
    </row>
    <row r="4" spans="1:8" x14ac:dyDescent="0.25">
      <c r="A4" s="3" t="s">
        <v>7</v>
      </c>
      <c r="B4" s="3" cm="1">
        <f t="array" ref="B4">INDEX(Szenarien!B:K, $B$1+1, 2)</f>
        <v>10</v>
      </c>
      <c r="C4" s="3">
        <f>Lösungen!B3</f>
        <v>3</v>
      </c>
      <c r="D4" s="3">
        <f>PRODUCT(B4,C4)</f>
        <v>30</v>
      </c>
      <c r="E4" s="3">
        <f>Lösungen!C3</f>
        <v>3</v>
      </c>
      <c r="F4" s="3">
        <f>PRODUCT(B4,E4)</f>
        <v>30</v>
      </c>
      <c r="G4" s="3">
        <f>Lösungen!D3</f>
        <v>1</v>
      </c>
      <c r="H4" s="3">
        <f>PRODUCT(B4,G4)</f>
        <v>10</v>
      </c>
    </row>
    <row r="5" spans="1:8" x14ac:dyDescent="0.25">
      <c r="A5" s="3" t="s">
        <v>8</v>
      </c>
      <c r="B5" s="3" cm="1">
        <f t="array" ref="B5">INDEX(Szenarien!B:K, $B$1+1, 3)</f>
        <v>10</v>
      </c>
      <c r="C5" s="3">
        <f>Lösungen!B4</f>
        <v>1</v>
      </c>
      <c r="D5" s="3">
        <f t="shared" ref="D5:D9" si="0">PRODUCT(B5,C5)</f>
        <v>10</v>
      </c>
      <c r="E5" s="3">
        <f>Lösungen!C4</f>
        <v>3</v>
      </c>
      <c r="F5" s="3">
        <f t="shared" ref="F5:F9" si="1">PRODUCT(B5,E5)</f>
        <v>30</v>
      </c>
      <c r="G5" s="3">
        <f>Lösungen!D4</f>
        <v>2</v>
      </c>
      <c r="H5" s="3">
        <f t="shared" ref="H5:H9" si="2">PRODUCT(B5,G5)</f>
        <v>20</v>
      </c>
    </row>
    <row r="6" spans="1:8" x14ac:dyDescent="0.25">
      <c r="A6" s="3" t="s">
        <v>2</v>
      </c>
      <c r="B6" s="3" cm="1">
        <f t="array" ref="B6">INDEX(Szenarien!B:K, $B$1+1, 4)</f>
        <v>10</v>
      </c>
      <c r="C6" s="3">
        <f>Lösungen!B5</f>
        <v>3</v>
      </c>
      <c r="D6" s="3">
        <f t="shared" si="0"/>
        <v>30</v>
      </c>
      <c r="E6" s="3">
        <f>Lösungen!C5</f>
        <v>3</v>
      </c>
      <c r="F6" s="3">
        <f t="shared" si="1"/>
        <v>30</v>
      </c>
      <c r="G6" s="3">
        <f>Lösungen!D5</f>
        <v>3</v>
      </c>
      <c r="H6" s="3">
        <f t="shared" si="2"/>
        <v>30</v>
      </c>
    </row>
    <row r="7" spans="1:8" x14ac:dyDescent="0.25">
      <c r="A7" s="3" t="s">
        <v>3</v>
      </c>
      <c r="B7" s="3" cm="1">
        <f t="array" ref="B7">INDEX(Szenarien!B:K, $B$1+1, 5)</f>
        <v>15</v>
      </c>
      <c r="C7" s="3">
        <f>Lösungen!B6</f>
        <v>3</v>
      </c>
      <c r="D7" s="3">
        <f t="shared" si="0"/>
        <v>45</v>
      </c>
      <c r="E7" s="3">
        <f>Lösungen!C6</f>
        <v>2</v>
      </c>
      <c r="F7" s="3">
        <f t="shared" si="1"/>
        <v>30</v>
      </c>
      <c r="G7" s="3">
        <f>Lösungen!D6</f>
        <v>2</v>
      </c>
      <c r="H7" s="3">
        <f t="shared" si="2"/>
        <v>30</v>
      </c>
    </row>
    <row r="8" spans="1:8" x14ac:dyDescent="0.25">
      <c r="A8" s="3" t="s">
        <v>10</v>
      </c>
      <c r="B8" s="3" cm="1">
        <f t="array" ref="B8">INDEX(Szenarien!B:K, $B$1+1, 6)</f>
        <v>0</v>
      </c>
      <c r="C8" s="3">
        <f>Lösungen!B7</f>
        <v>3</v>
      </c>
      <c r="D8" s="3">
        <f t="shared" si="0"/>
        <v>0</v>
      </c>
      <c r="E8" s="3">
        <f>Lösungen!C7</f>
        <v>2</v>
      </c>
      <c r="F8" s="3">
        <f t="shared" si="1"/>
        <v>0</v>
      </c>
      <c r="G8" s="3">
        <f>Lösungen!D7</f>
        <v>1</v>
      </c>
      <c r="H8" s="3">
        <f t="shared" si="2"/>
        <v>0</v>
      </c>
    </row>
    <row r="9" spans="1:8" x14ac:dyDescent="0.25">
      <c r="A9" s="3" t="s">
        <v>5</v>
      </c>
      <c r="B9" s="3" cm="1">
        <f t="array" ref="B9">INDEX(Szenarien!B:K, $B$1+1, 7)</f>
        <v>15</v>
      </c>
      <c r="C9" s="3">
        <f>Lösungen!B8</f>
        <v>2</v>
      </c>
      <c r="D9" s="3">
        <f t="shared" si="0"/>
        <v>30</v>
      </c>
      <c r="E9" s="3">
        <f>Lösungen!C8</f>
        <v>3</v>
      </c>
      <c r="F9" s="3">
        <f t="shared" si="1"/>
        <v>45</v>
      </c>
      <c r="G9" s="3">
        <f>Lösungen!D8</f>
        <v>1</v>
      </c>
      <c r="H9" s="3">
        <f t="shared" si="2"/>
        <v>15</v>
      </c>
    </row>
    <row r="10" spans="1:8" x14ac:dyDescent="0.25">
      <c r="A10" s="3" t="s">
        <v>15</v>
      </c>
      <c r="B10" s="3" cm="1">
        <f t="array" ref="B10">INDEX(Szenarien!B:K, $B$1+1, 8)</f>
        <v>15</v>
      </c>
      <c r="C10" s="3">
        <f>Lösungen!B9</f>
        <v>2</v>
      </c>
      <c r="D10" s="3">
        <f>PRODUCT(B10,C10)</f>
        <v>30</v>
      </c>
      <c r="E10" s="3">
        <f>Lösungen!C9</f>
        <v>3</v>
      </c>
      <c r="F10" s="3">
        <f>PRODUCT(B10,E10)</f>
        <v>45</v>
      </c>
      <c r="G10" s="3">
        <f>Lösungen!D9</f>
        <v>1</v>
      </c>
      <c r="H10" s="3">
        <f>PRODUCT(B10,G10)</f>
        <v>15</v>
      </c>
    </row>
    <row r="11" spans="1:8" x14ac:dyDescent="0.25">
      <c r="A11" s="3" t="s">
        <v>20</v>
      </c>
      <c r="B11" s="3" cm="1">
        <f t="array" ref="B11">INDEX(Szenarien!B:K, $B$1+1, 9)</f>
        <v>10</v>
      </c>
      <c r="C11" s="3">
        <f>Lösungen!B10</f>
        <v>3</v>
      </c>
      <c r="D11" s="3">
        <f>PRODUCT(B11,C11)</f>
        <v>30</v>
      </c>
      <c r="E11" s="3">
        <f>Lösungen!C10</f>
        <v>1</v>
      </c>
      <c r="F11" s="3">
        <f>PRODUCT(B11,E11)</f>
        <v>10</v>
      </c>
      <c r="G11" s="3">
        <f>Lösungen!D10</f>
        <v>2</v>
      </c>
      <c r="H11" s="3">
        <f>PRODUCT(B11,G11)</f>
        <v>20</v>
      </c>
    </row>
    <row r="12" spans="1:8" x14ac:dyDescent="0.25">
      <c r="A12" s="3" t="s">
        <v>6</v>
      </c>
      <c r="B12" s="3" cm="1">
        <f t="array" ref="B12">INDEX(Szenarien!B:K, $B$1+1, 10)</f>
        <v>5</v>
      </c>
      <c r="C12" s="3">
        <f>Lösungen!B11</f>
        <v>3</v>
      </c>
      <c r="D12" s="3">
        <f t="shared" ref="D12" si="3">PRODUCT(B12,C12)</f>
        <v>15</v>
      </c>
      <c r="E12" s="3">
        <f>Lösungen!C11</f>
        <v>1</v>
      </c>
      <c r="F12" s="3">
        <f t="shared" ref="F12" si="4">PRODUCT(B12,E12)</f>
        <v>5</v>
      </c>
      <c r="G12" s="3">
        <f>Lösungen!D11</f>
        <v>2</v>
      </c>
      <c r="H12" s="3">
        <f t="shared" ref="H12" si="5">PRODUCT(B12,G12)</f>
        <v>10</v>
      </c>
    </row>
    <row r="13" spans="1:8" x14ac:dyDescent="0.25">
      <c r="A13" s="19" t="s">
        <v>13</v>
      </c>
      <c r="B13" s="19">
        <f>SUM(B3:B12)</f>
        <v>100</v>
      </c>
      <c r="C13" s="19"/>
      <c r="D13" s="19">
        <f t="shared" ref="D13:H13" si="6">SUM(D3:D12)</f>
        <v>230</v>
      </c>
      <c r="E13" s="19"/>
      <c r="F13" s="19">
        <f t="shared" si="6"/>
        <v>245</v>
      </c>
      <c r="G13" s="19"/>
      <c r="H13" s="19">
        <f t="shared" si="6"/>
        <v>180</v>
      </c>
    </row>
    <row r="14" spans="1:8" x14ac:dyDescent="0.25">
      <c r="A14" s="19" t="s">
        <v>38</v>
      </c>
      <c r="B14" s="19"/>
      <c r="C14" s="19"/>
      <c r="D14" s="19">
        <f>(D13-100)/2</f>
        <v>65</v>
      </c>
      <c r="E14" s="19"/>
      <c r="F14" s="19">
        <f>(F13-100)/2</f>
        <v>72.5</v>
      </c>
      <c r="G14" s="19"/>
      <c r="H14" s="19">
        <f>(H13-100)/2</f>
        <v>40</v>
      </c>
    </row>
    <row r="15" spans="1:8" x14ac:dyDescent="0.25">
      <c r="A15" s="19" t="s">
        <v>14</v>
      </c>
      <c r="B15" s="19"/>
      <c r="C15" s="19"/>
      <c r="D15" s="19">
        <f>1+(F13&gt;D13)+(H13&gt;D13)</f>
        <v>2</v>
      </c>
      <c r="E15" s="19"/>
      <c r="F15" s="19">
        <f>1+(D13&gt;F13)+(H13&gt;F13)</f>
        <v>1</v>
      </c>
      <c r="G15" s="19"/>
      <c r="H15" s="19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F71C-DFA9-4483-8482-DC0F39D93A94}">
  <dimension ref="A1:H16"/>
  <sheetViews>
    <sheetView zoomScale="160" zoomScaleNormal="160" workbookViewId="0">
      <selection activeCell="F19" sqref="F19"/>
    </sheetView>
  </sheetViews>
  <sheetFormatPr baseColWidth="10" defaultRowHeight="15" x14ac:dyDescent="0.25"/>
  <cols>
    <col min="1" max="1" width="27.8554687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17" t="s">
        <v>18</v>
      </c>
      <c r="B1" s="17">
        <v>5</v>
      </c>
      <c r="C1" s="18" t="s">
        <v>21</v>
      </c>
      <c r="D1" s="18"/>
      <c r="E1" s="18" t="s">
        <v>12</v>
      </c>
      <c r="F1" s="18"/>
      <c r="G1" s="18" t="s">
        <v>17</v>
      </c>
      <c r="H1" s="18"/>
    </row>
    <row r="2" spans="1:8" x14ac:dyDescent="0.25">
      <c r="A2" s="17" t="s">
        <v>9</v>
      </c>
      <c r="B2" s="17" t="s">
        <v>11</v>
      </c>
      <c r="C2" s="17" t="s">
        <v>36</v>
      </c>
      <c r="D2" s="17" t="s">
        <v>37</v>
      </c>
      <c r="E2" s="17" t="s">
        <v>36</v>
      </c>
      <c r="F2" s="17" t="s">
        <v>37</v>
      </c>
      <c r="G2" s="17" t="s">
        <v>36</v>
      </c>
      <c r="H2" s="17" t="s">
        <v>37</v>
      </c>
    </row>
    <row r="3" spans="1:8" x14ac:dyDescent="0.25">
      <c r="A3" s="3" t="s">
        <v>1</v>
      </c>
      <c r="B3" s="3" cm="1">
        <f t="array" ref="B3">INDEX(Szenarien!B:K, $B$1+1, 1)</f>
        <v>5</v>
      </c>
      <c r="C3" s="3">
        <f>Lösungen!B2</f>
        <v>1</v>
      </c>
      <c r="D3" s="3">
        <f>PRODUCT(B3,C3)</f>
        <v>5</v>
      </c>
      <c r="E3" s="3">
        <f>Lösungen!C2</f>
        <v>2</v>
      </c>
      <c r="F3" s="3">
        <f>PRODUCT(B3,E3)</f>
        <v>10</v>
      </c>
      <c r="G3" s="3">
        <f>Lösungen!D2</f>
        <v>3</v>
      </c>
      <c r="H3" s="3">
        <f>PRODUCT(B3,G3)</f>
        <v>15</v>
      </c>
    </row>
    <row r="4" spans="1:8" x14ac:dyDescent="0.25">
      <c r="A4" s="3" t="s">
        <v>7</v>
      </c>
      <c r="B4" s="3" cm="1">
        <f t="array" ref="B4">INDEX(Szenarien!B:K, $B$1+1, 2)</f>
        <v>15</v>
      </c>
      <c r="C4" s="3">
        <f>Lösungen!B3</f>
        <v>3</v>
      </c>
      <c r="D4" s="3">
        <f>PRODUCT(B4,C4)</f>
        <v>45</v>
      </c>
      <c r="E4" s="3">
        <f>Lösungen!C3</f>
        <v>3</v>
      </c>
      <c r="F4" s="3">
        <f>PRODUCT(B4,E4)</f>
        <v>45</v>
      </c>
      <c r="G4" s="3">
        <f>Lösungen!D3</f>
        <v>1</v>
      </c>
      <c r="H4" s="3">
        <f>PRODUCT(B4,G4)</f>
        <v>15</v>
      </c>
    </row>
    <row r="5" spans="1:8" x14ac:dyDescent="0.25">
      <c r="A5" s="3" t="s">
        <v>8</v>
      </c>
      <c r="B5" s="3" cm="1">
        <f t="array" ref="B5">INDEX(Szenarien!B:K, $B$1+1, 3)</f>
        <v>10</v>
      </c>
      <c r="C5" s="3">
        <f>Lösungen!B4</f>
        <v>1</v>
      </c>
      <c r="D5" s="3">
        <f t="shared" ref="D5:D9" si="0">PRODUCT(B5,C5)</f>
        <v>10</v>
      </c>
      <c r="E5" s="3">
        <f>Lösungen!C4</f>
        <v>3</v>
      </c>
      <c r="F5" s="3">
        <f t="shared" ref="F5:F9" si="1">PRODUCT(B5,E5)</f>
        <v>30</v>
      </c>
      <c r="G5" s="3">
        <f>Lösungen!D4</f>
        <v>2</v>
      </c>
      <c r="H5" s="3">
        <f t="shared" ref="H5:H9" si="2">PRODUCT(B5,G5)</f>
        <v>20</v>
      </c>
    </row>
    <row r="6" spans="1:8" x14ac:dyDescent="0.25">
      <c r="A6" s="3" t="s">
        <v>2</v>
      </c>
      <c r="B6" s="3" cm="1">
        <f t="array" ref="B6">INDEX(Szenarien!B:K, $B$1+1, 4)</f>
        <v>10</v>
      </c>
      <c r="C6" s="3">
        <f>Lösungen!B5</f>
        <v>3</v>
      </c>
      <c r="D6" s="3">
        <f t="shared" si="0"/>
        <v>30</v>
      </c>
      <c r="E6" s="3">
        <f>Lösungen!C5</f>
        <v>3</v>
      </c>
      <c r="F6" s="3">
        <f t="shared" si="1"/>
        <v>30</v>
      </c>
      <c r="G6" s="3">
        <f>Lösungen!D5</f>
        <v>3</v>
      </c>
      <c r="H6" s="3">
        <f t="shared" si="2"/>
        <v>30</v>
      </c>
    </row>
    <row r="7" spans="1:8" x14ac:dyDescent="0.25">
      <c r="A7" s="3" t="s">
        <v>3</v>
      </c>
      <c r="B7" s="3" cm="1">
        <f t="array" ref="B7">INDEX(Szenarien!B:K, $B$1+1, 5)</f>
        <v>15</v>
      </c>
      <c r="C7" s="3">
        <f>Lösungen!B6</f>
        <v>3</v>
      </c>
      <c r="D7" s="3">
        <f t="shared" si="0"/>
        <v>45</v>
      </c>
      <c r="E7" s="3">
        <f>Lösungen!C6</f>
        <v>2</v>
      </c>
      <c r="F7" s="3">
        <f t="shared" si="1"/>
        <v>30</v>
      </c>
      <c r="G7" s="3">
        <f>Lösungen!D6</f>
        <v>2</v>
      </c>
      <c r="H7" s="3">
        <f t="shared" si="2"/>
        <v>30</v>
      </c>
    </row>
    <row r="8" spans="1:8" x14ac:dyDescent="0.25">
      <c r="A8" s="3" t="s">
        <v>10</v>
      </c>
      <c r="B8" s="3" cm="1">
        <f t="array" ref="B8">INDEX(Szenarien!B:K, $B$1+1, 6)</f>
        <v>15</v>
      </c>
      <c r="C8" s="3">
        <f>Lösungen!B7</f>
        <v>3</v>
      </c>
      <c r="D8" s="3">
        <f t="shared" si="0"/>
        <v>45</v>
      </c>
      <c r="E8" s="3">
        <f>Lösungen!C7</f>
        <v>2</v>
      </c>
      <c r="F8" s="3">
        <f t="shared" si="1"/>
        <v>30</v>
      </c>
      <c r="G8" s="3">
        <f>Lösungen!D7</f>
        <v>1</v>
      </c>
      <c r="H8" s="3">
        <f t="shared" si="2"/>
        <v>15</v>
      </c>
    </row>
    <row r="9" spans="1:8" x14ac:dyDescent="0.25">
      <c r="A9" s="3" t="s">
        <v>5</v>
      </c>
      <c r="B9" s="3" cm="1">
        <f t="array" ref="B9">INDEX(Szenarien!B:K, $B$1+1, 7)</f>
        <v>10</v>
      </c>
      <c r="C9" s="3">
        <f>Lösungen!B8</f>
        <v>2</v>
      </c>
      <c r="D9" s="3">
        <f t="shared" si="0"/>
        <v>20</v>
      </c>
      <c r="E9" s="3">
        <f>Lösungen!C8</f>
        <v>3</v>
      </c>
      <c r="F9" s="3">
        <f t="shared" si="1"/>
        <v>30</v>
      </c>
      <c r="G9" s="3">
        <f>Lösungen!D8</f>
        <v>1</v>
      </c>
      <c r="H9" s="3">
        <f t="shared" si="2"/>
        <v>10</v>
      </c>
    </row>
    <row r="10" spans="1:8" x14ac:dyDescent="0.25">
      <c r="A10" s="3" t="s">
        <v>15</v>
      </c>
      <c r="B10" s="3" cm="1">
        <f t="array" ref="B10">INDEX(Szenarien!B:K, $B$1+1, 8)</f>
        <v>5</v>
      </c>
      <c r="C10" s="3">
        <f>Lösungen!B9</f>
        <v>2</v>
      </c>
      <c r="D10" s="3">
        <f>PRODUCT(B10,C10)</f>
        <v>10</v>
      </c>
      <c r="E10" s="3">
        <f>Lösungen!C9</f>
        <v>3</v>
      </c>
      <c r="F10" s="3">
        <f>PRODUCT(B10,E10)</f>
        <v>15</v>
      </c>
      <c r="G10" s="3">
        <f>Lösungen!D9</f>
        <v>1</v>
      </c>
      <c r="H10" s="3">
        <f>PRODUCT(B10,G10)</f>
        <v>5</v>
      </c>
    </row>
    <row r="11" spans="1:8" x14ac:dyDescent="0.25">
      <c r="A11" s="3" t="s">
        <v>20</v>
      </c>
      <c r="B11" s="3" cm="1">
        <f t="array" ref="B11">INDEX(Szenarien!B:K, $B$1+1, 9)</f>
        <v>5</v>
      </c>
      <c r="C11" s="3">
        <f>Lösungen!B10</f>
        <v>3</v>
      </c>
      <c r="D11" s="3">
        <f>PRODUCT(B11,C11)</f>
        <v>15</v>
      </c>
      <c r="E11" s="3">
        <f>Lösungen!C10</f>
        <v>1</v>
      </c>
      <c r="F11" s="3">
        <f>PRODUCT(B11,E11)</f>
        <v>5</v>
      </c>
      <c r="G11" s="3">
        <f>Lösungen!D10</f>
        <v>2</v>
      </c>
      <c r="H11" s="3">
        <f>PRODUCT(B11,G11)</f>
        <v>10</v>
      </c>
    </row>
    <row r="12" spans="1:8" x14ac:dyDescent="0.25">
      <c r="A12" s="3" t="s">
        <v>6</v>
      </c>
      <c r="B12" s="3" cm="1">
        <f t="array" ref="B12">INDEX(Szenarien!B:K, $B$1+1, 10)</f>
        <v>10</v>
      </c>
      <c r="C12" s="3">
        <f>Lösungen!B11</f>
        <v>3</v>
      </c>
      <c r="D12" s="3">
        <f t="shared" ref="D12" si="3">PRODUCT(B12,C12)</f>
        <v>30</v>
      </c>
      <c r="E12" s="3">
        <f>Lösungen!C11</f>
        <v>1</v>
      </c>
      <c r="F12" s="3">
        <f t="shared" ref="F12" si="4">PRODUCT(B12,E12)</f>
        <v>10</v>
      </c>
      <c r="G12" s="3">
        <f>Lösungen!D11</f>
        <v>2</v>
      </c>
      <c r="H12" s="3">
        <f t="shared" ref="H12" si="5">PRODUCT(B12,G12)</f>
        <v>20</v>
      </c>
    </row>
    <row r="13" spans="1:8" x14ac:dyDescent="0.25">
      <c r="A13" s="19" t="s">
        <v>13</v>
      </c>
      <c r="B13" s="19">
        <f>SUM(B3:B12)</f>
        <v>100</v>
      </c>
      <c r="C13" s="19"/>
      <c r="D13" s="19">
        <f t="shared" ref="D13:H13" si="6">SUM(D3:D12)</f>
        <v>255</v>
      </c>
      <c r="E13" s="19"/>
      <c r="F13" s="19">
        <f t="shared" si="6"/>
        <v>235</v>
      </c>
      <c r="G13" s="19"/>
      <c r="H13" s="19">
        <f t="shared" si="6"/>
        <v>170</v>
      </c>
    </row>
    <row r="14" spans="1:8" x14ac:dyDescent="0.25">
      <c r="A14" s="19" t="s">
        <v>38</v>
      </c>
      <c r="B14" s="19"/>
      <c r="C14" s="19"/>
      <c r="D14" s="19">
        <f>(D13-100)/2</f>
        <v>77.5</v>
      </c>
      <c r="E14" s="19"/>
      <c r="F14" s="19">
        <f>(F13-100)/2</f>
        <v>67.5</v>
      </c>
      <c r="G14" s="19"/>
      <c r="H14" s="19">
        <f>(H13-100)/2</f>
        <v>35</v>
      </c>
    </row>
    <row r="15" spans="1:8" x14ac:dyDescent="0.25">
      <c r="A15" s="19" t="s">
        <v>14</v>
      </c>
      <c r="B15" s="19"/>
      <c r="C15" s="19"/>
      <c r="D15" s="19">
        <f>1+(F13&gt;D13)+(H13&gt;D13)</f>
        <v>1</v>
      </c>
      <c r="E15" s="19"/>
      <c r="F15" s="19">
        <f>1+(D13&gt;F13)+(H13&gt;F13)</f>
        <v>2</v>
      </c>
      <c r="G15" s="19"/>
      <c r="H15" s="19">
        <f>1+(D13&gt;H13)+(F13&gt;H13)</f>
        <v>3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Szenarien</vt:lpstr>
      <vt:lpstr>Lösungen</vt:lpstr>
      <vt:lpstr>Vorlage</vt:lpstr>
      <vt:lpstr>Szenario 1</vt:lpstr>
      <vt:lpstr>Szenario 2</vt:lpstr>
      <vt:lpstr>Szenario 3</vt:lpstr>
      <vt:lpstr>Szenario 4</vt:lpstr>
      <vt:lpstr>Szenario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Sieveneck</dc:creator>
  <cp:lastModifiedBy>Niclas Sieveneck</cp:lastModifiedBy>
  <dcterms:created xsi:type="dcterms:W3CDTF">2026-05-29T18:03:36Z</dcterms:created>
  <dcterms:modified xsi:type="dcterms:W3CDTF">2026-08-04T15:22:49Z</dcterms:modified>
</cp:coreProperties>
</file>