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471988a8a86cc1/Studium/Bachelor/Artefakte/Nutzwertanalyse - Alternative Versionen/"/>
    </mc:Choice>
  </mc:AlternateContent>
  <xr:revisionPtr revIDLastSave="276" documentId="8_{445BECBA-4A71-4BA1-B588-6903AAB647EC}" xr6:coauthVersionLast="47" xr6:coauthVersionMax="47" xr10:uidLastSave="{C7889FF0-F191-417B-9F0A-63FBDE279F02}"/>
  <bookViews>
    <workbookView xWindow="-120" yWindow="-120" windowWidth="38640" windowHeight="21120" activeTab="3" xr2:uid="{20C679E4-C9D8-48C4-B659-4235CD5DE514}"/>
  </bookViews>
  <sheets>
    <sheet name="Szenarien" sheetId="1" r:id="rId1"/>
    <sheet name="Lösungen" sheetId="7" r:id="rId2"/>
    <sheet name="Vorlage" sheetId="2" r:id="rId3"/>
    <sheet name="Szenario 1" sheetId="17" r:id="rId4"/>
    <sheet name="Szenario 2" sheetId="18" r:id="rId5"/>
    <sheet name="Szenario 3" sheetId="19" r:id="rId6"/>
    <sheet name="Szenario 4" sheetId="20" r:id="rId7"/>
    <sheet name="Szenario 5" sheetId="21" r:id="rId8"/>
    <sheet name="Szenario 0 - Referenz" sheetId="2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22" l="1"/>
  <c r="E20" i="22"/>
  <c r="C20" i="22"/>
  <c r="B20" i="22" a="1"/>
  <c r="B20" i="22" s="1"/>
  <c r="G19" i="22"/>
  <c r="E19" i="22"/>
  <c r="C19" i="22"/>
  <c r="B19" i="22" a="1"/>
  <c r="B19" i="22" s="1"/>
  <c r="G18" i="22"/>
  <c r="E18" i="22"/>
  <c r="C18" i="22"/>
  <c r="B18" i="22" a="1"/>
  <c r="B18" i="22" s="1"/>
  <c r="G17" i="22"/>
  <c r="E17" i="22"/>
  <c r="C17" i="22"/>
  <c r="B17" i="22" a="1"/>
  <c r="B17" i="22" s="1"/>
  <c r="G16" i="22"/>
  <c r="E16" i="22"/>
  <c r="C16" i="22"/>
  <c r="B16" i="22" a="1"/>
  <c r="B16" i="22" s="1"/>
  <c r="G15" i="22"/>
  <c r="E15" i="22"/>
  <c r="C15" i="22"/>
  <c r="B15" i="22" a="1"/>
  <c r="B15" i="22" s="1"/>
  <c r="G14" i="22"/>
  <c r="E14" i="22"/>
  <c r="C14" i="22"/>
  <c r="B14" i="22" a="1"/>
  <c r="B14" i="22" s="1"/>
  <c r="G13" i="22"/>
  <c r="E13" i="22"/>
  <c r="C13" i="22"/>
  <c r="B13" i="22" a="1"/>
  <c r="B13" i="22" s="1"/>
  <c r="G12" i="22"/>
  <c r="E12" i="22"/>
  <c r="C12" i="22"/>
  <c r="B12" i="22" a="1"/>
  <c r="B12" i="22" s="1"/>
  <c r="G11" i="22"/>
  <c r="E11" i="22"/>
  <c r="C11" i="22"/>
  <c r="B11" i="22" a="1"/>
  <c r="B11" i="22" s="1"/>
  <c r="G10" i="22"/>
  <c r="E10" i="22"/>
  <c r="C10" i="22"/>
  <c r="B10" i="22" a="1"/>
  <c r="B10" i="22" s="1"/>
  <c r="G9" i="22"/>
  <c r="E9" i="22"/>
  <c r="C9" i="22"/>
  <c r="B9" i="22" a="1"/>
  <c r="B9" i="22" s="1"/>
  <c r="G8" i="22"/>
  <c r="E8" i="22"/>
  <c r="C8" i="22"/>
  <c r="B8" i="22" a="1"/>
  <c r="B8" i="22" s="1"/>
  <c r="G7" i="22"/>
  <c r="E7" i="22"/>
  <c r="C7" i="22"/>
  <c r="B7" i="22" a="1"/>
  <c r="B7" i="22" s="1"/>
  <c r="G6" i="22"/>
  <c r="E6" i="22"/>
  <c r="C6" i="22"/>
  <c r="B6" i="22" a="1"/>
  <c r="B6" i="22" s="1"/>
  <c r="G5" i="22"/>
  <c r="E5" i="22"/>
  <c r="C5" i="22"/>
  <c r="B5" i="22" a="1"/>
  <c r="B5" i="22" s="1"/>
  <c r="G4" i="22"/>
  <c r="E4" i="22"/>
  <c r="C4" i="22"/>
  <c r="B4" i="22" a="1"/>
  <c r="B4" i="22" s="1"/>
  <c r="G3" i="22"/>
  <c r="E3" i="22"/>
  <c r="C3" i="22"/>
  <c r="B3" i="22" a="1"/>
  <c r="B3" i="22" s="1"/>
  <c r="G20" i="21"/>
  <c r="E20" i="21"/>
  <c r="C20" i="21"/>
  <c r="B20" i="21" a="1"/>
  <c r="B20" i="21" s="1"/>
  <c r="G19" i="21"/>
  <c r="E19" i="21"/>
  <c r="C19" i="21"/>
  <c r="B19" i="21" a="1"/>
  <c r="B19" i="21" s="1"/>
  <c r="G18" i="21"/>
  <c r="E18" i="21"/>
  <c r="C18" i="21"/>
  <c r="B18" i="21" a="1"/>
  <c r="B18" i="21" s="1"/>
  <c r="G17" i="21"/>
  <c r="E17" i="21"/>
  <c r="C17" i="21"/>
  <c r="B17" i="21" a="1"/>
  <c r="B17" i="21" s="1"/>
  <c r="G16" i="21"/>
  <c r="E16" i="21"/>
  <c r="C16" i="21"/>
  <c r="B16" i="21" a="1"/>
  <c r="B16" i="21" s="1"/>
  <c r="G15" i="21"/>
  <c r="E15" i="21"/>
  <c r="C15" i="21"/>
  <c r="B15" i="21" a="1"/>
  <c r="B15" i="21" s="1"/>
  <c r="G14" i="21"/>
  <c r="E14" i="21"/>
  <c r="C14" i="21"/>
  <c r="B14" i="21" a="1"/>
  <c r="B14" i="21" s="1"/>
  <c r="G13" i="21"/>
  <c r="E13" i="21"/>
  <c r="C13" i="21"/>
  <c r="B13" i="21" a="1"/>
  <c r="B13" i="21" s="1"/>
  <c r="G12" i="21"/>
  <c r="E12" i="21"/>
  <c r="C12" i="21"/>
  <c r="B12" i="21" a="1"/>
  <c r="B12" i="21" s="1"/>
  <c r="G11" i="21"/>
  <c r="E11" i="21"/>
  <c r="C11" i="21"/>
  <c r="B11" i="21" a="1"/>
  <c r="B11" i="21" s="1"/>
  <c r="G10" i="21"/>
  <c r="E10" i="21"/>
  <c r="C10" i="21"/>
  <c r="B10" i="21" a="1"/>
  <c r="B10" i="21" s="1"/>
  <c r="G9" i="21"/>
  <c r="E9" i="21"/>
  <c r="C9" i="21"/>
  <c r="B9" i="21" a="1"/>
  <c r="B9" i="21" s="1"/>
  <c r="G8" i="21"/>
  <c r="E8" i="21"/>
  <c r="C8" i="21"/>
  <c r="B8" i="21" a="1"/>
  <c r="B8" i="21" s="1"/>
  <c r="G7" i="21"/>
  <c r="E7" i="21"/>
  <c r="C7" i="21"/>
  <c r="B7" i="21" a="1"/>
  <c r="B7" i="21" s="1"/>
  <c r="G6" i="21"/>
  <c r="E6" i="21"/>
  <c r="C6" i="21"/>
  <c r="B6" i="21" a="1"/>
  <c r="B6" i="21" s="1"/>
  <c r="G5" i="21"/>
  <c r="E5" i="21"/>
  <c r="C5" i="21"/>
  <c r="B5" i="21" a="1"/>
  <c r="B5" i="21" s="1"/>
  <c r="G4" i="21"/>
  <c r="E4" i="21"/>
  <c r="C4" i="21"/>
  <c r="B4" i="21" a="1"/>
  <c r="B4" i="21" s="1"/>
  <c r="G3" i="21"/>
  <c r="E3" i="21"/>
  <c r="C3" i="21"/>
  <c r="B3" i="21" a="1"/>
  <c r="B3" i="21" s="1"/>
  <c r="G20" i="20"/>
  <c r="E20" i="20"/>
  <c r="C20" i="20"/>
  <c r="B20" i="20" a="1"/>
  <c r="B20" i="20" s="1"/>
  <c r="G19" i="20"/>
  <c r="E19" i="20"/>
  <c r="C19" i="20"/>
  <c r="B19" i="20" a="1"/>
  <c r="B19" i="20" s="1"/>
  <c r="G18" i="20"/>
  <c r="E18" i="20"/>
  <c r="C18" i="20"/>
  <c r="B18" i="20" a="1"/>
  <c r="B18" i="20" s="1"/>
  <c r="G17" i="20"/>
  <c r="E17" i="20"/>
  <c r="C17" i="20"/>
  <c r="B17" i="20" a="1"/>
  <c r="B17" i="20" s="1"/>
  <c r="G16" i="20"/>
  <c r="E16" i="20"/>
  <c r="C16" i="20"/>
  <c r="B16" i="20" a="1"/>
  <c r="B16" i="20" s="1"/>
  <c r="G15" i="20"/>
  <c r="E15" i="20"/>
  <c r="C15" i="20"/>
  <c r="B15" i="20" a="1"/>
  <c r="B15" i="20" s="1"/>
  <c r="G14" i="20"/>
  <c r="E14" i="20"/>
  <c r="C14" i="20"/>
  <c r="B14" i="20" a="1"/>
  <c r="B14" i="20" s="1"/>
  <c r="G13" i="20"/>
  <c r="E13" i="20"/>
  <c r="C13" i="20"/>
  <c r="B13" i="20" a="1"/>
  <c r="B13" i="20" s="1"/>
  <c r="G12" i="20"/>
  <c r="E12" i="20"/>
  <c r="C12" i="20"/>
  <c r="B12" i="20" a="1"/>
  <c r="B12" i="20" s="1"/>
  <c r="G11" i="20"/>
  <c r="E11" i="20"/>
  <c r="C11" i="20"/>
  <c r="B11" i="20" a="1"/>
  <c r="B11" i="20" s="1"/>
  <c r="G10" i="20"/>
  <c r="E10" i="20"/>
  <c r="C10" i="20"/>
  <c r="B10" i="20" a="1"/>
  <c r="B10" i="20" s="1"/>
  <c r="G9" i="20"/>
  <c r="E9" i="20"/>
  <c r="C9" i="20"/>
  <c r="B9" i="20" a="1"/>
  <c r="B9" i="20" s="1"/>
  <c r="G8" i="20"/>
  <c r="E8" i="20"/>
  <c r="C8" i="20"/>
  <c r="B8" i="20" a="1"/>
  <c r="B8" i="20" s="1"/>
  <c r="G7" i="20"/>
  <c r="E7" i="20"/>
  <c r="C7" i="20"/>
  <c r="B7" i="20" a="1"/>
  <c r="B7" i="20" s="1"/>
  <c r="G6" i="20"/>
  <c r="E6" i="20"/>
  <c r="C6" i="20"/>
  <c r="B6" i="20" a="1"/>
  <c r="B6" i="20" s="1"/>
  <c r="G5" i="20"/>
  <c r="E5" i="20"/>
  <c r="C5" i="20"/>
  <c r="B5" i="20" a="1"/>
  <c r="B5" i="20" s="1"/>
  <c r="G4" i="20"/>
  <c r="E4" i="20"/>
  <c r="C4" i="20"/>
  <c r="B4" i="20" a="1"/>
  <c r="B4" i="20" s="1"/>
  <c r="G3" i="20"/>
  <c r="E3" i="20"/>
  <c r="C3" i="20"/>
  <c r="B3" i="20" a="1"/>
  <c r="B3" i="20" s="1"/>
  <c r="G20" i="19"/>
  <c r="E20" i="19"/>
  <c r="C20" i="19"/>
  <c r="B20" i="19" a="1"/>
  <c r="B20" i="19" s="1"/>
  <c r="G19" i="19"/>
  <c r="E19" i="19"/>
  <c r="C19" i="19"/>
  <c r="B19" i="19" a="1"/>
  <c r="B19" i="19" s="1"/>
  <c r="G18" i="19"/>
  <c r="E18" i="19"/>
  <c r="C18" i="19"/>
  <c r="B18" i="19" a="1"/>
  <c r="B18" i="19" s="1"/>
  <c r="G17" i="19"/>
  <c r="E17" i="19"/>
  <c r="C17" i="19"/>
  <c r="B17" i="19" a="1"/>
  <c r="B17" i="19" s="1"/>
  <c r="G16" i="19"/>
  <c r="E16" i="19"/>
  <c r="C16" i="19"/>
  <c r="B16" i="19" a="1"/>
  <c r="B16" i="19" s="1"/>
  <c r="G15" i="19"/>
  <c r="E15" i="19"/>
  <c r="C15" i="19"/>
  <c r="B15" i="19" a="1"/>
  <c r="B15" i="19" s="1"/>
  <c r="G14" i="19"/>
  <c r="E14" i="19"/>
  <c r="C14" i="19"/>
  <c r="B14" i="19" a="1"/>
  <c r="B14" i="19" s="1"/>
  <c r="G13" i="19"/>
  <c r="E13" i="19"/>
  <c r="C13" i="19"/>
  <c r="B13" i="19" a="1"/>
  <c r="B13" i="19" s="1"/>
  <c r="G12" i="19"/>
  <c r="E12" i="19"/>
  <c r="C12" i="19"/>
  <c r="B12" i="19" a="1"/>
  <c r="B12" i="19" s="1"/>
  <c r="G11" i="19"/>
  <c r="E11" i="19"/>
  <c r="C11" i="19"/>
  <c r="B11" i="19" a="1"/>
  <c r="B11" i="19" s="1"/>
  <c r="G10" i="19"/>
  <c r="E10" i="19"/>
  <c r="C10" i="19"/>
  <c r="B10" i="19" a="1"/>
  <c r="B10" i="19" s="1"/>
  <c r="G9" i="19"/>
  <c r="E9" i="19"/>
  <c r="C9" i="19"/>
  <c r="B9" i="19" a="1"/>
  <c r="B9" i="19" s="1"/>
  <c r="G8" i="19"/>
  <c r="E8" i="19"/>
  <c r="C8" i="19"/>
  <c r="B8" i="19" a="1"/>
  <c r="B8" i="19" s="1"/>
  <c r="G7" i="19"/>
  <c r="E7" i="19"/>
  <c r="C7" i="19"/>
  <c r="B7" i="19" a="1"/>
  <c r="B7" i="19" s="1"/>
  <c r="G6" i="19"/>
  <c r="E6" i="19"/>
  <c r="C6" i="19"/>
  <c r="B6" i="19" a="1"/>
  <c r="B6" i="19" s="1"/>
  <c r="G5" i="19"/>
  <c r="E5" i="19"/>
  <c r="C5" i="19"/>
  <c r="B5" i="19" a="1"/>
  <c r="B5" i="19" s="1"/>
  <c r="G4" i="19"/>
  <c r="E4" i="19"/>
  <c r="C4" i="19"/>
  <c r="B4" i="19" a="1"/>
  <c r="B4" i="19" s="1"/>
  <c r="G3" i="19"/>
  <c r="E3" i="19"/>
  <c r="C3" i="19"/>
  <c r="B3" i="19" a="1"/>
  <c r="B3" i="19" s="1"/>
  <c r="G20" i="18"/>
  <c r="E20" i="18"/>
  <c r="C20" i="18"/>
  <c r="B20" i="18" a="1"/>
  <c r="B20" i="18" s="1"/>
  <c r="G19" i="18"/>
  <c r="E19" i="18"/>
  <c r="C19" i="18"/>
  <c r="B19" i="18" a="1"/>
  <c r="B19" i="18" s="1"/>
  <c r="G18" i="18"/>
  <c r="E18" i="18"/>
  <c r="C18" i="18"/>
  <c r="B18" i="18" a="1"/>
  <c r="B18" i="18" s="1"/>
  <c r="G17" i="18"/>
  <c r="E17" i="18"/>
  <c r="C17" i="18"/>
  <c r="B17" i="18" a="1"/>
  <c r="B17" i="18" s="1"/>
  <c r="G16" i="18"/>
  <c r="E16" i="18"/>
  <c r="C16" i="18"/>
  <c r="B16" i="18" a="1"/>
  <c r="B16" i="18" s="1"/>
  <c r="G15" i="18"/>
  <c r="E15" i="18"/>
  <c r="C15" i="18"/>
  <c r="B15" i="18" a="1"/>
  <c r="B15" i="18" s="1"/>
  <c r="G14" i="18"/>
  <c r="E14" i="18"/>
  <c r="C14" i="18"/>
  <c r="B14" i="18" a="1"/>
  <c r="B14" i="18" s="1"/>
  <c r="G13" i="18"/>
  <c r="E13" i="18"/>
  <c r="C13" i="18"/>
  <c r="B13" i="18" a="1"/>
  <c r="B13" i="18" s="1"/>
  <c r="G12" i="18"/>
  <c r="E12" i="18"/>
  <c r="C12" i="18"/>
  <c r="B12" i="18" a="1"/>
  <c r="B12" i="18" s="1"/>
  <c r="G11" i="18"/>
  <c r="E11" i="18"/>
  <c r="C11" i="18"/>
  <c r="B11" i="18" a="1"/>
  <c r="B11" i="18" s="1"/>
  <c r="G10" i="18"/>
  <c r="E10" i="18"/>
  <c r="C10" i="18"/>
  <c r="B10" i="18" a="1"/>
  <c r="B10" i="18" s="1"/>
  <c r="G9" i="18"/>
  <c r="E9" i="18"/>
  <c r="C9" i="18"/>
  <c r="B9" i="18" a="1"/>
  <c r="B9" i="18" s="1"/>
  <c r="G8" i="18"/>
  <c r="E8" i="18"/>
  <c r="C8" i="18"/>
  <c r="B8" i="18" a="1"/>
  <c r="B8" i="18" s="1"/>
  <c r="G7" i="18"/>
  <c r="E7" i="18"/>
  <c r="C7" i="18"/>
  <c r="B7" i="18" a="1"/>
  <c r="B7" i="18" s="1"/>
  <c r="G6" i="18"/>
  <c r="E6" i="18"/>
  <c r="C6" i="18"/>
  <c r="B6" i="18" a="1"/>
  <c r="B6" i="18" s="1"/>
  <c r="G5" i="18"/>
  <c r="E5" i="18"/>
  <c r="C5" i="18"/>
  <c r="B5" i="18" a="1"/>
  <c r="B5" i="18" s="1"/>
  <c r="G4" i="18"/>
  <c r="E4" i="18"/>
  <c r="C4" i="18"/>
  <c r="B4" i="18" a="1"/>
  <c r="B4" i="18" s="1"/>
  <c r="G3" i="18"/>
  <c r="E3" i="18"/>
  <c r="C3" i="18"/>
  <c r="B3" i="18" a="1"/>
  <c r="B3" i="18" s="1"/>
  <c r="G20" i="17"/>
  <c r="E20" i="17"/>
  <c r="C20" i="17"/>
  <c r="B20" i="17" a="1"/>
  <c r="B20" i="17" s="1"/>
  <c r="G19" i="17"/>
  <c r="E19" i="17"/>
  <c r="C19" i="17"/>
  <c r="B19" i="17" a="1"/>
  <c r="B19" i="17" s="1"/>
  <c r="G18" i="17"/>
  <c r="E18" i="17"/>
  <c r="C18" i="17"/>
  <c r="B18" i="17" a="1"/>
  <c r="B18" i="17" s="1"/>
  <c r="G17" i="17"/>
  <c r="E17" i="17"/>
  <c r="C17" i="17"/>
  <c r="B17" i="17" a="1"/>
  <c r="B17" i="17" s="1"/>
  <c r="G16" i="17"/>
  <c r="E16" i="17"/>
  <c r="C16" i="17"/>
  <c r="B16" i="17" a="1"/>
  <c r="B16" i="17" s="1"/>
  <c r="G15" i="17"/>
  <c r="E15" i="17"/>
  <c r="C15" i="17"/>
  <c r="B15" i="17" a="1"/>
  <c r="B15" i="17" s="1"/>
  <c r="G14" i="17"/>
  <c r="E14" i="17"/>
  <c r="C14" i="17"/>
  <c r="B14" i="17" a="1"/>
  <c r="B14" i="17" s="1"/>
  <c r="G13" i="17"/>
  <c r="E13" i="17"/>
  <c r="C13" i="17"/>
  <c r="B13" i="17" a="1"/>
  <c r="B13" i="17" s="1"/>
  <c r="G12" i="17"/>
  <c r="E12" i="17"/>
  <c r="C12" i="17"/>
  <c r="B12" i="17" a="1"/>
  <c r="B12" i="17" s="1"/>
  <c r="G11" i="17"/>
  <c r="E11" i="17"/>
  <c r="C11" i="17"/>
  <c r="B11" i="17" a="1"/>
  <c r="B11" i="17" s="1"/>
  <c r="G10" i="17"/>
  <c r="E10" i="17"/>
  <c r="C10" i="17"/>
  <c r="B10" i="17" a="1"/>
  <c r="B10" i="17" s="1"/>
  <c r="G9" i="17"/>
  <c r="E9" i="17"/>
  <c r="C9" i="17"/>
  <c r="B9" i="17" a="1"/>
  <c r="B9" i="17" s="1"/>
  <c r="G8" i="17"/>
  <c r="E8" i="17"/>
  <c r="C8" i="17"/>
  <c r="B8" i="17" a="1"/>
  <c r="B8" i="17" s="1"/>
  <c r="G7" i="17"/>
  <c r="E7" i="17"/>
  <c r="C7" i="17"/>
  <c r="B7" i="17" a="1"/>
  <c r="B7" i="17" s="1"/>
  <c r="G6" i="17"/>
  <c r="E6" i="17"/>
  <c r="C6" i="17"/>
  <c r="B6" i="17" a="1"/>
  <c r="B6" i="17" s="1"/>
  <c r="G5" i="17"/>
  <c r="E5" i="17"/>
  <c r="C5" i="17"/>
  <c r="B5" i="17" a="1"/>
  <c r="B5" i="17" s="1"/>
  <c r="G4" i="17"/>
  <c r="E4" i="17"/>
  <c r="C4" i="17"/>
  <c r="B4" i="17" a="1"/>
  <c r="B4" i="17" s="1"/>
  <c r="G3" i="17"/>
  <c r="E3" i="17"/>
  <c r="C3" i="17"/>
  <c r="B3" i="17" a="1"/>
  <c r="B3" i="17" s="1"/>
  <c r="G14" i="2"/>
  <c r="G15" i="2"/>
  <c r="G16" i="2"/>
  <c r="G17" i="2"/>
  <c r="G18" i="2"/>
  <c r="G19" i="2"/>
  <c r="G20" i="2"/>
  <c r="E14" i="2"/>
  <c r="E15" i="2"/>
  <c r="E16" i="2"/>
  <c r="E17" i="2"/>
  <c r="E18" i="2"/>
  <c r="E19" i="2"/>
  <c r="E20" i="2"/>
  <c r="C14" i="2"/>
  <c r="C15" i="2"/>
  <c r="C16" i="2"/>
  <c r="C17" i="2"/>
  <c r="C18" i="2"/>
  <c r="C19" i="2"/>
  <c r="C20" i="2"/>
  <c r="B20" i="2" a="1"/>
  <c r="B20" i="2" s="1"/>
  <c r="H20" i="2" s="1"/>
  <c r="B19" i="2" a="1"/>
  <c r="B19" i="2" s="1"/>
  <c r="H19" i="2" s="1"/>
  <c r="B18" i="2" a="1"/>
  <c r="B18" i="2" s="1"/>
  <c r="H18" i="2" s="1"/>
  <c r="B17" i="2" a="1"/>
  <c r="B17" i="2" s="1"/>
  <c r="B16" i="2" a="1"/>
  <c r="B16" i="2" s="1"/>
  <c r="H16" i="2" s="1"/>
  <c r="B15" i="2" a="1"/>
  <c r="B15" i="2" s="1"/>
  <c r="B14" i="2" a="1"/>
  <c r="B14" i="2" s="1"/>
  <c r="B13" i="2" a="1"/>
  <c r="B13" i="2" s="1"/>
  <c r="B12" i="2" a="1"/>
  <c r="B12" i="2" s="1"/>
  <c r="D17" i="22" l="1"/>
  <c r="F17" i="22"/>
  <c r="H17" i="22"/>
  <c r="D13" i="22"/>
  <c r="F13" i="22"/>
  <c r="H13" i="22"/>
  <c r="H6" i="22"/>
  <c r="F6" i="22"/>
  <c r="D6" i="22"/>
  <c r="H10" i="22"/>
  <c r="F10" i="22"/>
  <c r="D10" i="22"/>
  <c r="H14" i="22"/>
  <c r="F14" i="22"/>
  <c r="D14" i="22"/>
  <c r="H18" i="22"/>
  <c r="F18" i="22"/>
  <c r="D18" i="22"/>
  <c r="D9" i="22"/>
  <c r="F9" i="22"/>
  <c r="H9" i="22"/>
  <c r="D3" i="22"/>
  <c r="B21" i="22"/>
  <c r="F3" i="22"/>
  <c r="H3" i="22"/>
  <c r="D7" i="22"/>
  <c r="F7" i="22"/>
  <c r="H7" i="22"/>
  <c r="D11" i="22"/>
  <c r="F11" i="22"/>
  <c r="H11" i="22"/>
  <c r="D15" i="22"/>
  <c r="F15" i="22"/>
  <c r="H15" i="22"/>
  <c r="D19" i="22"/>
  <c r="F19" i="22"/>
  <c r="H19" i="22"/>
  <c r="H4" i="22"/>
  <c r="F4" i="22"/>
  <c r="D4" i="22"/>
  <c r="H8" i="22"/>
  <c r="F8" i="22"/>
  <c r="D8" i="22"/>
  <c r="H12" i="22"/>
  <c r="F12" i="22"/>
  <c r="D12" i="22"/>
  <c r="H16" i="22"/>
  <c r="F16" i="22"/>
  <c r="D16" i="22"/>
  <c r="H20" i="22"/>
  <c r="F20" i="22"/>
  <c r="D20" i="22"/>
  <c r="D5" i="22"/>
  <c r="F5" i="22"/>
  <c r="H5" i="22"/>
  <c r="H17" i="2"/>
  <c r="D15" i="2"/>
  <c r="D14" i="2"/>
  <c r="D5" i="21"/>
  <c r="H5" i="21"/>
  <c r="F5" i="21"/>
  <c r="D9" i="21"/>
  <c r="F9" i="21"/>
  <c r="H9" i="21"/>
  <c r="D13" i="21"/>
  <c r="H13" i="21"/>
  <c r="F13" i="21"/>
  <c r="D17" i="21"/>
  <c r="F17" i="21"/>
  <c r="H17" i="21"/>
  <c r="H6" i="21"/>
  <c r="F6" i="21"/>
  <c r="D6" i="21"/>
  <c r="H10" i="21"/>
  <c r="F10" i="21"/>
  <c r="D10" i="21"/>
  <c r="H14" i="21"/>
  <c r="F14" i="21"/>
  <c r="D14" i="21"/>
  <c r="H18" i="21"/>
  <c r="F18" i="21"/>
  <c r="D18" i="21"/>
  <c r="D3" i="21"/>
  <c r="B21" i="21"/>
  <c r="F3" i="21"/>
  <c r="H3" i="21"/>
  <c r="D7" i="21"/>
  <c r="H7" i="21"/>
  <c r="F7" i="21"/>
  <c r="D11" i="21"/>
  <c r="H11" i="21"/>
  <c r="F11" i="21"/>
  <c r="D15" i="21"/>
  <c r="F15" i="21"/>
  <c r="H15" i="21"/>
  <c r="D19" i="21"/>
  <c r="F19" i="21"/>
  <c r="H19" i="21"/>
  <c r="H4" i="21"/>
  <c r="F4" i="21"/>
  <c r="D4" i="21"/>
  <c r="H8" i="21"/>
  <c r="F8" i="21"/>
  <c r="D8" i="21"/>
  <c r="H12" i="21"/>
  <c r="F12" i="21"/>
  <c r="D12" i="21"/>
  <c r="H16" i="21"/>
  <c r="F16" i="21"/>
  <c r="D16" i="21"/>
  <c r="H20" i="21"/>
  <c r="F20" i="21"/>
  <c r="D20" i="21"/>
  <c r="D17" i="20"/>
  <c r="H17" i="20"/>
  <c r="F17" i="20"/>
  <c r="D9" i="20"/>
  <c r="F9" i="20"/>
  <c r="H9" i="20"/>
  <c r="H6" i="20"/>
  <c r="F6" i="20"/>
  <c r="D6" i="20"/>
  <c r="H10" i="20"/>
  <c r="F10" i="20"/>
  <c r="D10" i="20"/>
  <c r="H14" i="20"/>
  <c r="F14" i="20"/>
  <c r="D14" i="20"/>
  <c r="H18" i="20"/>
  <c r="F18" i="20"/>
  <c r="D18" i="20"/>
  <c r="D11" i="20"/>
  <c r="H11" i="20"/>
  <c r="F11" i="20"/>
  <c r="D15" i="20"/>
  <c r="H15" i="20"/>
  <c r="F15" i="20"/>
  <c r="D19" i="20"/>
  <c r="H19" i="20"/>
  <c r="F19" i="20"/>
  <c r="D5" i="20"/>
  <c r="F5" i="20"/>
  <c r="H5" i="20"/>
  <c r="D3" i="20"/>
  <c r="F3" i="20"/>
  <c r="B21" i="20"/>
  <c r="H3" i="20"/>
  <c r="D7" i="20"/>
  <c r="H7" i="20"/>
  <c r="F7" i="20"/>
  <c r="H4" i="20"/>
  <c r="F4" i="20"/>
  <c r="D4" i="20"/>
  <c r="H8" i="20"/>
  <c r="F8" i="20"/>
  <c r="D8" i="20"/>
  <c r="H12" i="20"/>
  <c r="F12" i="20"/>
  <c r="D12" i="20"/>
  <c r="H16" i="20"/>
  <c r="F16" i="20"/>
  <c r="D16" i="20"/>
  <c r="H20" i="20"/>
  <c r="F20" i="20"/>
  <c r="D20" i="20"/>
  <c r="D13" i="20"/>
  <c r="F13" i="20"/>
  <c r="H13" i="20"/>
  <c r="H6" i="19"/>
  <c r="F6" i="19"/>
  <c r="D6" i="19"/>
  <c r="H10" i="19"/>
  <c r="F10" i="19"/>
  <c r="D10" i="19"/>
  <c r="H14" i="19"/>
  <c r="F14" i="19"/>
  <c r="D14" i="19"/>
  <c r="H18" i="19"/>
  <c r="F18" i="19"/>
  <c r="D18" i="19"/>
  <c r="D17" i="19"/>
  <c r="F17" i="19"/>
  <c r="H17" i="19"/>
  <c r="D5" i="19"/>
  <c r="F5" i="19"/>
  <c r="H5" i="19"/>
  <c r="D13" i="19"/>
  <c r="F13" i="19"/>
  <c r="H13" i="19"/>
  <c r="D11" i="19"/>
  <c r="H11" i="19"/>
  <c r="F11" i="19"/>
  <c r="D15" i="19"/>
  <c r="F15" i="19"/>
  <c r="H15" i="19"/>
  <c r="D19" i="19"/>
  <c r="F19" i="19"/>
  <c r="H19" i="19"/>
  <c r="D3" i="19"/>
  <c r="B21" i="19"/>
  <c r="H3" i="19"/>
  <c r="F3" i="19"/>
  <c r="H4" i="19"/>
  <c r="F4" i="19"/>
  <c r="D4" i="19"/>
  <c r="H8" i="19"/>
  <c r="F8" i="19"/>
  <c r="D8" i="19"/>
  <c r="H12" i="19"/>
  <c r="F12" i="19"/>
  <c r="D12" i="19"/>
  <c r="H16" i="19"/>
  <c r="F16" i="19"/>
  <c r="D16" i="19"/>
  <c r="H20" i="19"/>
  <c r="F20" i="19"/>
  <c r="D20" i="19"/>
  <c r="D9" i="19"/>
  <c r="F9" i="19"/>
  <c r="H9" i="19"/>
  <c r="D7" i="19"/>
  <c r="F7" i="19"/>
  <c r="H7" i="19"/>
  <c r="D17" i="18"/>
  <c r="F17" i="18"/>
  <c r="H17" i="18"/>
  <c r="D5" i="18"/>
  <c r="F5" i="18"/>
  <c r="H5" i="18"/>
  <c r="H14" i="18"/>
  <c r="F14" i="18"/>
  <c r="D14" i="18"/>
  <c r="H6" i="18"/>
  <c r="F6" i="18"/>
  <c r="D6" i="18"/>
  <c r="D7" i="18"/>
  <c r="F7" i="18"/>
  <c r="H7" i="18"/>
  <c r="D15" i="18"/>
  <c r="H15" i="18"/>
  <c r="F15" i="18"/>
  <c r="D19" i="18"/>
  <c r="H19" i="18"/>
  <c r="F19" i="18"/>
  <c r="H18" i="18"/>
  <c r="F18" i="18"/>
  <c r="D18" i="18"/>
  <c r="D9" i="18"/>
  <c r="F9" i="18"/>
  <c r="H9" i="18"/>
  <c r="D13" i="18"/>
  <c r="F13" i="18"/>
  <c r="H13" i="18"/>
  <c r="D11" i="18"/>
  <c r="F11" i="18"/>
  <c r="H11" i="18"/>
  <c r="H12" i="18"/>
  <c r="F12" i="18"/>
  <c r="D12" i="18"/>
  <c r="H16" i="18"/>
  <c r="F16" i="18"/>
  <c r="D16" i="18"/>
  <c r="H20" i="18"/>
  <c r="F20" i="18"/>
  <c r="D20" i="18"/>
  <c r="D3" i="18"/>
  <c r="B21" i="18"/>
  <c r="F3" i="18"/>
  <c r="H3" i="18"/>
  <c r="H4" i="18"/>
  <c r="F4" i="18"/>
  <c r="D4" i="18"/>
  <c r="H10" i="18"/>
  <c r="F10" i="18"/>
  <c r="D10" i="18"/>
  <c r="H8" i="18"/>
  <c r="F8" i="18"/>
  <c r="D8" i="18"/>
  <c r="D5" i="17"/>
  <c r="F5" i="17"/>
  <c r="H5" i="17"/>
  <c r="H10" i="17"/>
  <c r="F10" i="17"/>
  <c r="D10" i="17"/>
  <c r="D3" i="17"/>
  <c r="B21" i="17"/>
  <c r="H3" i="17"/>
  <c r="F3" i="17"/>
  <c r="H6" i="17"/>
  <c r="F6" i="17"/>
  <c r="D6" i="17"/>
  <c r="D19" i="17"/>
  <c r="F19" i="17"/>
  <c r="H19" i="17"/>
  <c r="H18" i="17"/>
  <c r="F18" i="17"/>
  <c r="D18" i="17"/>
  <c r="D17" i="17"/>
  <c r="F17" i="17"/>
  <c r="H17" i="17"/>
  <c r="D7" i="17"/>
  <c r="H7" i="17"/>
  <c r="F7" i="17"/>
  <c r="H8" i="17"/>
  <c r="F8" i="17"/>
  <c r="D8" i="17"/>
  <c r="H12" i="17"/>
  <c r="F12" i="17"/>
  <c r="D12" i="17"/>
  <c r="H16" i="17"/>
  <c r="F16" i="17"/>
  <c r="D16" i="17"/>
  <c r="H20" i="17"/>
  <c r="F20" i="17"/>
  <c r="D20" i="17"/>
  <c r="D13" i="17"/>
  <c r="F13" i="17"/>
  <c r="H13" i="17"/>
  <c r="D11" i="17"/>
  <c r="F11" i="17"/>
  <c r="H11" i="17"/>
  <c r="D9" i="17"/>
  <c r="H9" i="17"/>
  <c r="F9" i="17"/>
  <c r="H14" i="17"/>
  <c r="F14" i="17"/>
  <c r="D14" i="17"/>
  <c r="D15" i="17"/>
  <c r="F15" i="17"/>
  <c r="H15" i="17"/>
  <c r="H4" i="17"/>
  <c r="F4" i="17"/>
  <c r="D4" i="17"/>
  <c r="H14" i="2"/>
  <c r="F20" i="2"/>
  <c r="F19" i="2"/>
  <c r="F14" i="2"/>
  <c r="F18" i="2"/>
  <c r="F17" i="2"/>
  <c r="F16" i="2"/>
  <c r="F15" i="2"/>
  <c r="D20" i="2"/>
  <c r="D19" i="2"/>
  <c r="D18" i="2"/>
  <c r="H15" i="2"/>
  <c r="D17" i="2"/>
  <c r="D16" i="2"/>
  <c r="H21" i="22" l="1"/>
  <c r="F21" i="22"/>
  <c r="D21" i="22"/>
  <c r="D21" i="20"/>
  <c r="F21" i="20"/>
  <c r="H21" i="21"/>
  <c r="F21" i="21"/>
  <c r="D21" i="21"/>
  <c r="H21" i="20"/>
  <c r="D21" i="19"/>
  <c r="F21" i="19"/>
  <c r="H21" i="19"/>
  <c r="F21" i="18"/>
  <c r="H21" i="18"/>
  <c r="D21" i="18"/>
  <c r="H21" i="17"/>
  <c r="F21" i="17"/>
  <c r="D21" i="17"/>
  <c r="D12" i="2"/>
  <c r="B11" i="2" a="1"/>
  <c r="B11" i="2" s="1"/>
  <c r="D11" i="2" s="1"/>
  <c r="C7" i="2"/>
  <c r="C8" i="2"/>
  <c r="C9" i="2"/>
  <c r="C10" i="2"/>
  <c r="C11" i="2"/>
  <c r="E7" i="2"/>
  <c r="E8" i="2"/>
  <c r="E9" i="2"/>
  <c r="E10" i="2"/>
  <c r="E11" i="2"/>
  <c r="G7" i="2"/>
  <c r="G8" i="2"/>
  <c r="G9" i="2"/>
  <c r="G10" i="2"/>
  <c r="G11" i="2"/>
  <c r="B10" i="2" a="1"/>
  <c r="B10" i="2" s="1"/>
  <c r="B9" i="2" a="1"/>
  <c r="B9" i="2" s="1"/>
  <c r="B8" i="2" a="1"/>
  <c r="B8" i="2" s="1"/>
  <c r="D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T8" i="1"/>
  <c r="G4" i="2"/>
  <c r="G5" i="2"/>
  <c r="G6" i="2"/>
  <c r="G12" i="2"/>
  <c r="G13" i="2"/>
  <c r="G3" i="2"/>
  <c r="E4" i="2"/>
  <c r="E5" i="2"/>
  <c r="E6" i="2"/>
  <c r="E12" i="2"/>
  <c r="E13" i="2"/>
  <c r="E3" i="2"/>
  <c r="C5" i="2"/>
  <c r="C6" i="2"/>
  <c r="C12" i="2"/>
  <c r="C13" i="2"/>
  <c r="D13" i="2" s="1"/>
  <c r="C4" i="2"/>
  <c r="C3" i="2"/>
  <c r="C20" i="7"/>
  <c r="D20" i="7"/>
  <c r="B20" i="7"/>
  <c r="T4" i="1"/>
  <c r="T5" i="1"/>
  <c r="T6" i="1"/>
  <c r="T7" i="1"/>
  <c r="T3" i="1"/>
  <c r="D23" i="21" l="1"/>
  <c r="D23" i="20"/>
  <c r="H23" i="19"/>
  <c r="F23" i="19"/>
  <c r="H23" i="18"/>
  <c r="F23" i="18"/>
  <c r="H23" i="20"/>
  <c r="F23" i="20"/>
  <c r="D23" i="19"/>
  <c r="H23" i="21"/>
  <c r="F23" i="21"/>
  <c r="H23" i="22"/>
  <c r="F23" i="22"/>
  <c r="F23" i="17"/>
  <c r="H23" i="17"/>
  <c r="D23" i="22"/>
  <c r="D23" i="18"/>
  <c r="D23" i="17"/>
  <c r="D9" i="2"/>
  <c r="H8" i="2"/>
  <c r="F13" i="2"/>
  <c r="H10" i="2"/>
  <c r="F11" i="2"/>
  <c r="H13" i="2"/>
  <c r="H12" i="2"/>
  <c r="H9" i="2"/>
  <c r="H11" i="2"/>
  <c r="D10" i="2"/>
  <c r="F12" i="2"/>
  <c r="F10" i="2"/>
  <c r="F9" i="2"/>
  <c r="B21" i="2"/>
  <c r="F8" i="2"/>
  <c r="H7" i="2"/>
  <c r="D7" i="2"/>
  <c r="F7" i="2"/>
  <c r="H6" i="2"/>
  <c r="F6" i="2"/>
  <c r="D6" i="2"/>
  <c r="F5" i="2"/>
  <c r="H5" i="2"/>
  <c r="D5" i="2"/>
  <c r="D4" i="2"/>
  <c r="H4" i="2"/>
  <c r="F4" i="2"/>
  <c r="D3" i="2"/>
  <c r="F3" i="2"/>
  <c r="H3" i="2"/>
  <c r="U3" i="1"/>
  <c r="F21" i="2" l="1"/>
  <c r="D21" i="2"/>
  <c r="H21" i="2"/>
  <c r="H23" i="2" l="1"/>
  <c r="F23" i="2"/>
  <c r="D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<sst xmlns="http://schemas.openxmlformats.org/spreadsheetml/2006/main" count="280" uniqueCount="50">
  <si>
    <t>Szenario</t>
  </si>
  <si>
    <t>Kosten</t>
  </si>
  <si>
    <t>Skalierbarkeit</t>
  </si>
  <si>
    <t>Hochverfügbarkeit</t>
  </si>
  <si>
    <t>Multi-Cloud-Fähigkeit</t>
  </si>
  <si>
    <t>Storage-Features</t>
  </si>
  <si>
    <t>Automatisierbarkeit</t>
  </si>
  <si>
    <t>Support</t>
  </si>
  <si>
    <t>Migrationsaufwand</t>
  </si>
  <si>
    <t>Kriterium</t>
  </si>
  <si>
    <t>Hybrid-/Multi-Cloud-Fähigkeit</t>
  </si>
  <si>
    <t>Gewichtung</t>
  </si>
  <si>
    <t>Nutanix</t>
  </si>
  <si>
    <t>Summe</t>
  </si>
  <si>
    <t>Rang</t>
  </si>
  <si>
    <t>Unified Storage</t>
  </si>
  <si>
    <t>Mittel</t>
  </si>
  <si>
    <t>Proxmox mit Ceph</t>
  </si>
  <si>
    <t>Szenario:</t>
  </si>
  <si>
    <t>Dynamische Skalierung</t>
  </si>
  <si>
    <t>Minimale Skalierung</t>
  </si>
  <si>
    <t>Maximale Skalierung</t>
  </si>
  <si>
    <t>Redundanz</t>
  </si>
  <si>
    <t>Metro Cluster</t>
  </si>
  <si>
    <t>VM Level</t>
  </si>
  <si>
    <t>Skalierbarkeit: Dynamische Skalierung</t>
  </si>
  <si>
    <t>Skalierbarkeit: Minimale Skalierung</t>
  </si>
  <si>
    <t>Skalierbarkeit: Maximale Skalierung</t>
  </si>
  <si>
    <t>Hochverfügbarkeit: Redundanz</t>
  </si>
  <si>
    <t>Hochverfügbarkeit: Metro Cluster</t>
  </si>
  <si>
    <t>Hochverfügbarkeit: VM Level</t>
  </si>
  <si>
    <t>Storage-Features: Verschlüsselung</t>
  </si>
  <si>
    <t>Unified Storage: Datei</t>
  </si>
  <si>
    <t>Unified Storage: Block</t>
  </si>
  <si>
    <t>Unified Storage: Objekt</t>
  </si>
  <si>
    <t>Verschlüsselung</t>
  </si>
  <si>
    <t>Datei</t>
  </si>
  <si>
    <t>Block</t>
  </si>
  <si>
    <t>Objekt</t>
  </si>
  <si>
    <t>Storage-Features: Datenlokalität</t>
  </si>
  <si>
    <t>Storage-Features: Daten-Effizienz (Erasure Coding / Dedup / Kompression)</t>
  </si>
  <si>
    <t>Datenlokalität</t>
  </si>
  <si>
    <t>Dateneffizienz</t>
  </si>
  <si>
    <t>Storage-Features: Daten-Effizienz</t>
  </si>
  <si>
    <t>#</t>
  </si>
  <si>
    <t>Benutzerfreundlichkeit</t>
  </si>
  <si>
    <t>VMware/Broadcom</t>
  </si>
  <si>
    <t>Score</t>
  </si>
  <si>
    <t>Bewertung</t>
  </si>
  <si>
    <t>Normiert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</si>
</sst>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2" xfId="0" applyFont="1" applyBorder="1"/>
    <xf numFmtId="0" fontId="0" fillId="2" borderId="2" xfId="0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12" fontId="1" fillId="0" borderId="5" xfId="0" applyNumberFormat="1" applyFont="1" applyBorder="1" applyAlignment="1">
      <alignment vertical="center" wrapText="1"/>
    </xf>
    <xf numFmtId="12" fontId="1" fillId="0" borderId="1" xfId="0" applyNumberFormat="1" applyFont="1" applyBorder="1" applyAlignment="1">
      <alignment vertical="center" wrapText="1"/>
    </xf>
    <xf numFmtId="12" fontId="1" fillId="0" borderId="4" xfId="0" applyNumberFormat="1" applyFont="1" applyBorder="1" applyAlignment="1">
      <alignment vertical="center" wrapText="1"/>
    </xf>
    <xf numFmtId="12" fontId="1" fillId="0" borderId="2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5B26-C307-4627-BFB9-E5F80460B961}">
  <dimension ref="A1:U8"/>
  <sheetViews>
    <sheetView zoomScale="160" zoomScaleNormal="160" workbookViewId="0">
      <selection activeCell="K14" sqref="K14"/>
    </sheetView>
  </sheetViews>
  <sheetFormatPr baseColWidth="10" defaultRowHeight="15" x14ac:dyDescent="0.25"/>
  <sheetData>
    <row r="1" spans="1:21" ht="60" customHeight="1" x14ac:dyDescent="0.25">
      <c r="A1" s="21" t="s">
        <v>0</v>
      </c>
      <c r="B1" s="21" t="s">
        <v>1</v>
      </c>
      <c r="C1" s="21" t="s">
        <v>7</v>
      </c>
      <c r="D1" s="21" t="s">
        <v>8</v>
      </c>
      <c r="E1" s="18" t="s">
        <v>2</v>
      </c>
      <c r="F1" s="19"/>
      <c r="G1" s="20"/>
      <c r="H1" s="18" t="s">
        <v>3</v>
      </c>
      <c r="I1" s="19"/>
      <c r="J1" s="20"/>
      <c r="K1" s="21" t="s">
        <v>4</v>
      </c>
      <c r="L1" s="17" t="s">
        <v>5</v>
      </c>
      <c r="M1" s="17"/>
      <c r="N1" s="17"/>
      <c r="O1" s="18" t="s">
        <v>15</v>
      </c>
      <c r="P1" s="19"/>
      <c r="Q1" s="20"/>
      <c r="R1" s="21" t="s">
        <v>45</v>
      </c>
      <c r="S1" s="21" t="s">
        <v>6</v>
      </c>
      <c r="T1" s="14" t="s">
        <v>13</v>
      </c>
      <c r="U1" s="14" t="s">
        <v>16</v>
      </c>
    </row>
    <row r="2" spans="1:21" ht="45" x14ac:dyDescent="0.25">
      <c r="A2" s="22"/>
      <c r="B2" s="22"/>
      <c r="C2" s="22"/>
      <c r="D2" s="22"/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22"/>
      <c r="L2" s="8" t="s">
        <v>42</v>
      </c>
      <c r="M2" s="8" t="s">
        <v>41</v>
      </c>
      <c r="N2" s="8" t="s">
        <v>35</v>
      </c>
      <c r="O2" s="8" t="s">
        <v>36</v>
      </c>
      <c r="P2" s="8" t="s">
        <v>37</v>
      </c>
      <c r="Q2" s="8" t="s">
        <v>38</v>
      </c>
      <c r="R2" s="22"/>
      <c r="S2" s="22"/>
      <c r="T2" s="16"/>
      <c r="U2" s="16"/>
    </row>
    <row r="3" spans="1:21" ht="15.75" thickBot="1" x14ac:dyDescent="0.3">
      <c r="A3" s="6">
        <v>1</v>
      </c>
      <c r="B3" s="9">
        <v>50</v>
      </c>
      <c r="C3" s="9">
        <v>5</v>
      </c>
      <c r="D3" s="9">
        <v>0</v>
      </c>
      <c r="E3" s="9">
        <v>10</v>
      </c>
      <c r="F3" s="9">
        <v>5</v>
      </c>
      <c r="G3" s="9">
        <v>0</v>
      </c>
      <c r="H3" s="9">
        <v>7</v>
      </c>
      <c r="I3" s="9">
        <v>0</v>
      </c>
      <c r="J3" s="9">
        <v>3</v>
      </c>
      <c r="K3" s="9">
        <v>0</v>
      </c>
      <c r="L3" s="9">
        <v>2.5</v>
      </c>
      <c r="M3" s="9">
        <v>2.5</v>
      </c>
      <c r="N3" s="9">
        <v>0</v>
      </c>
      <c r="O3" s="9">
        <v>0</v>
      </c>
      <c r="P3" s="9">
        <v>0</v>
      </c>
      <c r="Q3" s="9">
        <v>0</v>
      </c>
      <c r="R3" s="9">
        <v>10</v>
      </c>
      <c r="S3" s="9">
        <v>5</v>
      </c>
      <c r="T3" s="3">
        <f t="shared" ref="T3:T8" si="0">SUM(B3:S3)</f>
        <v>100</v>
      </c>
      <c r="U3" s="14">
        <f>AVERAGE(T3:T7)</f>
        <v>100</v>
      </c>
    </row>
    <row r="4" spans="1:21" ht="15.75" thickBot="1" x14ac:dyDescent="0.3">
      <c r="A4" s="6">
        <v>2</v>
      </c>
      <c r="B4" s="10">
        <v>15</v>
      </c>
      <c r="C4" s="10">
        <v>10</v>
      </c>
      <c r="D4" s="10">
        <v>15</v>
      </c>
      <c r="E4" s="10">
        <v>5</v>
      </c>
      <c r="F4" s="10">
        <v>0</v>
      </c>
      <c r="G4" s="10">
        <v>0</v>
      </c>
      <c r="H4" s="10">
        <v>15</v>
      </c>
      <c r="I4" s="10">
        <v>0</v>
      </c>
      <c r="J4" s="10">
        <v>0</v>
      </c>
      <c r="K4" s="10">
        <v>15</v>
      </c>
      <c r="L4" s="9">
        <v>2.5</v>
      </c>
      <c r="M4" s="9">
        <v>2.5</v>
      </c>
      <c r="N4" s="10">
        <v>0</v>
      </c>
      <c r="O4" s="10">
        <v>0</v>
      </c>
      <c r="P4" s="10">
        <v>0</v>
      </c>
      <c r="Q4" s="10">
        <v>0</v>
      </c>
      <c r="R4" s="10">
        <v>15</v>
      </c>
      <c r="S4" s="10">
        <v>5</v>
      </c>
      <c r="T4" s="3">
        <f t="shared" si="0"/>
        <v>100</v>
      </c>
      <c r="U4" s="15"/>
    </row>
    <row r="5" spans="1:21" ht="15.75" thickBot="1" x14ac:dyDescent="0.3">
      <c r="A5" s="6">
        <v>3</v>
      </c>
      <c r="B5" s="10">
        <v>15</v>
      </c>
      <c r="C5" s="10">
        <v>10</v>
      </c>
      <c r="D5" s="10">
        <v>15</v>
      </c>
      <c r="E5" s="10">
        <v>5</v>
      </c>
      <c r="F5" s="10">
        <v>0</v>
      </c>
      <c r="G5" s="10">
        <v>0</v>
      </c>
      <c r="H5" s="10">
        <v>5</v>
      </c>
      <c r="I5" s="10">
        <v>0</v>
      </c>
      <c r="J5" s="10">
        <v>0</v>
      </c>
      <c r="K5" s="10">
        <v>0</v>
      </c>
      <c r="L5" s="10">
        <v>5</v>
      </c>
      <c r="M5" s="10">
        <v>10</v>
      </c>
      <c r="N5" s="10">
        <v>0</v>
      </c>
      <c r="O5" s="10">
        <v>0</v>
      </c>
      <c r="P5" s="10">
        <v>10</v>
      </c>
      <c r="Q5" s="10">
        <v>5</v>
      </c>
      <c r="R5" s="10">
        <v>15</v>
      </c>
      <c r="S5" s="10">
        <v>5</v>
      </c>
      <c r="T5" s="3">
        <f t="shared" si="0"/>
        <v>100</v>
      </c>
      <c r="U5" s="15"/>
    </row>
    <row r="6" spans="1:21" ht="15.75" thickBot="1" x14ac:dyDescent="0.3">
      <c r="A6" s="6">
        <v>4</v>
      </c>
      <c r="B6" s="10">
        <v>10</v>
      </c>
      <c r="C6" s="10">
        <v>10</v>
      </c>
      <c r="D6" s="10">
        <v>10</v>
      </c>
      <c r="E6" s="10">
        <v>5</v>
      </c>
      <c r="F6" s="10">
        <v>0</v>
      </c>
      <c r="G6" s="10">
        <v>5</v>
      </c>
      <c r="H6" s="10">
        <v>5</v>
      </c>
      <c r="I6" s="10">
        <v>10</v>
      </c>
      <c r="J6" s="10">
        <v>0</v>
      </c>
      <c r="K6" s="10">
        <v>0</v>
      </c>
      <c r="L6" s="10">
        <v>5</v>
      </c>
      <c r="M6" s="10">
        <v>5</v>
      </c>
      <c r="N6" s="10">
        <v>5</v>
      </c>
      <c r="O6" s="10">
        <v>10</v>
      </c>
      <c r="P6" s="10">
        <v>5</v>
      </c>
      <c r="Q6" s="10">
        <v>0</v>
      </c>
      <c r="R6" s="10">
        <v>10</v>
      </c>
      <c r="S6" s="10">
        <v>5</v>
      </c>
      <c r="T6" s="3">
        <f t="shared" si="0"/>
        <v>100</v>
      </c>
      <c r="U6" s="15"/>
    </row>
    <row r="7" spans="1:21" x14ac:dyDescent="0.25">
      <c r="A7" s="7">
        <v>5</v>
      </c>
      <c r="B7" s="11">
        <v>5</v>
      </c>
      <c r="C7" s="11">
        <v>15</v>
      </c>
      <c r="D7" s="11">
        <v>10</v>
      </c>
      <c r="E7" s="11">
        <v>0</v>
      </c>
      <c r="F7" s="11">
        <v>0</v>
      </c>
      <c r="G7" s="11">
        <v>10</v>
      </c>
      <c r="H7" s="11">
        <v>5</v>
      </c>
      <c r="I7" s="11">
        <v>0</v>
      </c>
      <c r="J7" s="11">
        <v>10</v>
      </c>
      <c r="K7" s="11">
        <v>15</v>
      </c>
      <c r="L7" s="11">
        <v>0</v>
      </c>
      <c r="M7" s="11">
        <v>3</v>
      </c>
      <c r="N7" s="11">
        <v>7</v>
      </c>
      <c r="O7" s="11">
        <v>0</v>
      </c>
      <c r="P7" s="11">
        <v>5</v>
      </c>
      <c r="Q7" s="11">
        <v>0</v>
      </c>
      <c r="R7" s="11">
        <v>5</v>
      </c>
      <c r="S7" s="11">
        <v>10</v>
      </c>
      <c r="T7" s="3">
        <f t="shared" si="0"/>
        <v>100</v>
      </c>
      <c r="U7" s="15"/>
    </row>
    <row r="8" spans="1:21" x14ac:dyDescent="0.25">
      <c r="A8" s="6">
        <v>0</v>
      </c>
      <c r="B8" s="12">
        <v>10</v>
      </c>
      <c r="C8" s="12">
        <v>10</v>
      </c>
      <c r="D8" s="12">
        <v>10</v>
      </c>
      <c r="E8" s="12">
        <v>3.3333333000000001</v>
      </c>
      <c r="F8" s="12">
        <v>3.3333333000000001</v>
      </c>
      <c r="G8" s="12">
        <v>3.3333333000000001</v>
      </c>
      <c r="H8" s="12">
        <v>3.3333333000000001</v>
      </c>
      <c r="I8" s="12">
        <v>3.3333333000000001</v>
      </c>
      <c r="J8" s="12">
        <v>3.3333333000000001</v>
      </c>
      <c r="K8" s="12">
        <v>10</v>
      </c>
      <c r="L8" s="12">
        <v>3.3333333000000001</v>
      </c>
      <c r="M8" s="12">
        <v>3.3333333000000001</v>
      </c>
      <c r="N8" s="12">
        <v>3.3333333000000001</v>
      </c>
      <c r="O8" s="12">
        <v>3.3333333000000001</v>
      </c>
      <c r="P8" s="12">
        <v>3.3333333000000001</v>
      </c>
      <c r="Q8" s="12">
        <v>3.3333333000000001</v>
      </c>
      <c r="R8" s="12">
        <v>10</v>
      </c>
      <c r="S8" s="12">
        <v>10</v>
      </c>
      <c r="T8" s="3">
        <f t="shared" si="0"/>
        <v>99.999999600000024</v>
      </c>
      <c r="U8" s="16"/>
    </row>
  </sheetData>
  <mergeCells count="14">
    <mergeCell ref="C1:C2"/>
    <mergeCell ref="A1:A2"/>
    <mergeCell ref="T1:T2"/>
    <mergeCell ref="E1:G1"/>
    <mergeCell ref="H1:J1"/>
    <mergeCell ref="K1:K2"/>
    <mergeCell ref="R1:R2"/>
    <mergeCell ref="S1:S2"/>
    <mergeCell ref="B1:B2"/>
    <mergeCell ref="U3:U8"/>
    <mergeCell ref="U1:U2"/>
    <mergeCell ref="L1:N1"/>
    <mergeCell ref="O1:Q1"/>
    <mergeCell ref="D1:D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522C-D307-4272-8586-B326A6E69815}">
  <dimension ref="A1:D25"/>
  <sheetViews>
    <sheetView zoomScale="160" zoomScaleNormal="160" workbookViewId="0">
      <selection activeCell="A27" sqref="A27"/>
    </sheetView>
  </sheetViews>
  <sheetFormatPr baseColWidth="10" defaultRowHeight="15" x14ac:dyDescent="0.25"/>
  <cols>
    <col min="1" max="1" width="73" bestFit="1" customWidth="1"/>
    <col min="2" max="2" width="19.140625" bestFit="1" customWidth="1"/>
    <col min="4" max="4" width="19" bestFit="1" customWidth="1"/>
  </cols>
  <sheetData>
    <row r="1" spans="1:4" x14ac:dyDescent="0.25">
      <c r="A1" s="4" t="s">
        <v>9</v>
      </c>
      <c r="B1" s="4" t="s">
        <v>46</v>
      </c>
      <c r="C1" s="4" t="s">
        <v>12</v>
      </c>
      <c r="D1" s="4" t="s">
        <v>17</v>
      </c>
    </row>
    <row r="2" spans="1:4" x14ac:dyDescent="0.25">
      <c r="A2" s="2" t="s">
        <v>1</v>
      </c>
      <c r="B2" s="2">
        <v>1</v>
      </c>
      <c r="C2" s="2">
        <v>2</v>
      </c>
      <c r="D2" s="2">
        <v>3</v>
      </c>
    </row>
    <row r="3" spans="1:4" x14ac:dyDescent="0.25">
      <c r="A3" s="2" t="s">
        <v>7</v>
      </c>
      <c r="B3" s="2">
        <v>3</v>
      </c>
      <c r="C3" s="2">
        <v>3</v>
      </c>
      <c r="D3" s="2">
        <v>1</v>
      </c>
    </row>
    <row r="4" spans="1:4" x14ac:dyDescent="0.25">
      <c r="A4" s="2" t="s">
        <v>8</v>
      </c>
      <c r="B4" s="2">
        <v>1</v>
      </c>
      <c r="C4" s="2">
        <v>3</v>
      </c>
      <c r="D4" s="2">
        <v>2</v>
      </c>
    </row>
    <row r="5" spans="1:4" x14ac:dyDescent="0.25">
      <c r="A5" s="2" t="s">
        <v>25</v>
      </c>
      <c r="B5" s="2">
        <v>3</v>
      </c>
      <c r="C5" s="2">
        <v>3</v>
      </c>
      <c r="D5" s="2">
        <v>3</v>
      </c>
    </row>
    <row r="6" spans="1:4" x14ac:dyDescent="0.25">
      <c r="A6" s="2" t="s">
        <v>26</v>
      </c>
      <c r="B6" s="2">
        <v>3</v>
      </c>
      <c r="C6" s="2">
        <v>3</v>
      </c>
      <c r="D6" s="2">
        <v>3</v>
      </c>
    </row>
    <row r="7" spans="1:4" x14ac:dyDescent="0.25">
      <c r="A7" s="2" t="s">
        <v>27</v>
      </c>
      <c r="B7" s="2">
        <v>3</v>
      </c>
      <c r="C7" s="2">
        <v>3</v>
      </c>
      <c r="D7" s="2">
        <v>3</v>
      </c>
    </row>
    <row r="8" spans="1:4" x14ac:dyDescent="0.25">
      <c r="A8" s="2" t="s">
        <v>28</v>
      </c>
      <c r="B8" s="2">
        <v>3</v>
      </c>
      <c r="C8" s="2">
        <v>2</v>
      </c>
      <c r="D8" s="2">
        <v>2</v>
      </c>
    </row>
    <row r="9" spans="1:4" x14ac:dyDescent="0.25">
      <c r="A9" s="2" t="s">
        <v>29</v>
      </c>
      <c r="B9" s="2">
        <v>3</v>
      </c>
      <c r="C9" s="2">
        <v>3</v>
      </c>
      <c r="D9" s="2">
        <v>3</v>
      </c>
    </row>
    <row r="10" spans="1:4" x14ac:dyDescent="0.25">
      <c r="A10" s="2" t="s">
        <v>30</v>
      </c>
      <c r="B10" s="2">
        <v>3</v>
      </c>
      <c r="C10" s="2">
        <v>1</v>
      </c>
      <c r="D10" s="2">
        <v>1</v>
      </c>
    </row>
    <row r="11" spans="1:4" x14ac:dyDescent="0.25">
      <c r="A11" s="2" t="s">
        <v>10</v>
      </c>
      <c r="B11" s="2">
        <v>3</v>
      </c>
      <c r="C11" s="2">
        <v>2</v>
      </c>
      <c r="D11" s="2">
        <v>1</v>
      </c>
    </row>
    <row r="12" spans="1:4" x14ac:dyDescent="0.25">
      <c r="A12" s="2" t="s">
        <v>40</v>
      </c>
      <c r="B12" s="2">
        <v>3</v>
      </c>
      <c r="C12" s="2">
        <v>3</v>
      </c>
      <c r="D12" s="2">
        <v>2</v>
      </c>
    </row>
    <row r="13" spans="1:4" x14ac:dyDescent="0.25">
      <c r="A13" s="2" t="s">
        <v>39</v>
      </c>
      <c r="B13" s="2">
        <v>3</v>
      </c>
      <c r="C13" s="2">
        <v>1</v>
      </c>
      <c r="D13" s="2">
        <v>1</v>
      </c>
    </row>
    <row r="14" spans="1:4" x14ac:dyDescent="0.25">
      <c r="A14" s="2" t="s">
        <v>31</v>
      </c>
      <c r="B14" s="2">
        <v>3</v>
      </c>
      <c r="C14" s="2">
        <v>3</v>
      </c>
      <c r="D14" s="2">
        <v>3</v>
      </c>
    </row>
    <row r="15" spans="1:4" x14ac:dyDescent="0.25">
      <c r="A15" s="2" t="s">
        <v>32</v>
      </c>
      <c r="B15" s="2">
        <v>3</v>
      </c>
      <c r="C15" s="2">
        <v>3</v>
      </c>
      <c r="D15" s="2">
        <v>1</v>
      </c>
    </row>
    <row r="16" spans="1:4" x14ac:dyDescent="0.25">
      <c r="A16" s="2" t="s">
        <v>33</v>
      </c>
      <c r="B16" s="2">
        <v>2</v>
      </c>
      <c r="C16" s="2">
        <v>3</v>
      </c>
      <c r="D16" s="2">
        <v>1</v>
      </c>
    </row>
    <row r="17" spans="1:4" x14ac:dyDescent="0.25">
      <c r="A17" s="2" t="s">
        <v>34</v>
      </c>
      <c r="B17" s="2">
        <v>1</v>
      </c>
      <c r="C17" s="2">
        <v>3</v>
      </c>
      <c r="D17" s="2">
        <v>1</v>
      </c>
    </row>
    <row r="18" spans="1:4" x14ac:dyDescent="0.25">
      <c r="A18" s="2" t="s">
        <v>45</v>
      </c>
      <c r="B18" s="2">
        <v>3</v>
      </c>
      <c r="C18" s="2">
        <v>1</v>
      </c>
      <c r="D18" s="2">
        <v>2</v>
      </c>
    </row>
    <row r="19" spans="1:4" x14ac:dyDescent="0.25">
      <c r="A19" s="2" t="s">
        <v>6</v>
      </c>
      <c r="B19" s="2">
        <v>3</v>
      </c>
      <c r="C19" s="2">
        <v>1</v>
      </c>
      <c r="D19" s="2">
        <v>2</v>
      </c>
    </row>
    <row r="20" spans="1:4" x14ac:dyDescent="0.25">
      <c r="A20" s="5" t="s">
        <v>13</v>
      </c>
      <c r="B20" s="5">
        <f>SUM(B2:B19)</f>
        <v>47</v>
      </c>
      <c r="C20" s="5">
        <f t="shared" ref="C20:D20" si="0">SUM(C2:C19)</f>
        <v>43</v>
      </c>
      <c r="D20" s="5">
        <f t="shared" si="0"/>
        <v>35</v>
      </c>
    </row>
    <row r="21" spans="1:4" x14ac:dyDescent="0.25">
      <c r="A21" s="1"/>
      <c r="B21" s="1"/>
      <c r="C21" s="1"/>
      <c r="D21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F278-3573-456D-9F04-D37AF5426834}">
  <dimension ref="A1:H24"/>
  <sheetViews>
    <sheetView zoomScale="160" zoomScaleNormal="160" workbookViewId="0">
      <selection activeCell="A25" sqref="A25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18</v>
      </c>
      <c r="B1" s="4" t="s">
        <v>44</v>
      </c>
      <c r="C1" s="13" t="s">
        <v>46</v>
      </c>
      <c r="D1" s="13"/>
      <c r="E1" s="13" t="s">
        <v>12</v>
      </c>
      <c r="F1" s="13"/>
      <c r="G1" s="13" t="s">
        <v>17</v>
      </c>
      <c r="H1" s="13"/>
    </row>
    <row r="2" spans="1:8" x14ac:dyDescent="0.25">
      <c r="A2" s="4" t="s">
        <v>9</v>
      </c>
      <c r="B2" s="4" t="s">
        <v>11</v>
      </c>
      <c r="C2" s="4" t="s">
        <v>48</v>
      </c>
      <c r="D2" s="4" t="s">
        <v>47</v>
      </c>
      <c r="E2" s="4" t="s">
        <v>48</v>
      </c>
      <c r="F2" s="4" t="s">
        <v>47</v>
      </c>
      <c r="G2" s="4" t="s">
        <v>48</v>
      </c>
      <c r="H2" s="4" t="s">
        <v>47</v>
      </c>
    </row>
    <row r="3" spans="1:8" x14ac:dyDescent="0.25">
      <c r="A3" s="2" t="s">
        <v>1</v>
      </c>
      <c r="B3" s="2" t="e" cm="1">
        <f t="array" ref="B3">INDEX(Szenarien!B:S, $B$1+2, 1)</f>
        <v>#VALUE!</v>
      </c>
      <c r="C3" s="2">
        <f>Lösungen!B2</f>
        <v>1</v>
      </c>
      <c r="D3" s="2" t="e">
        <f>PRODUCT(B3,C3)</f>
        <v>#VALUE!</v>
      </c>
      <c r="E3" s="2">
        <f>Lösungen!C2</f>
        <v>2</v>
      </c>
      <c r="F3" s="2" t="e">
        <f>PRODUCT(B3,E3)</f>
        <v>#VALUE!</v>
      </c>
      <c r="G3" s="2">
        <f>Lösungen!D2</f>
        <v>3</v>
      </c>
      <c r="H3" s="2" t="e">
        <f>PRODUCT(B3,G3)</f>
        <v>#VALUE!</v>
      </c>
    </row>
    <row r="4" spans="1:8" x14ac:dyDescent="0.25">
      <c r="A4" s="2" t="s">
        <v>7</v>
      </c>
      <c r="B4" s="2" t="e" cm="1">
        <f t="array" ref="B4">INDEX(Szenarien!B:S, $B$1+2, 2)</f>
        <v>#VALUE!</v>
      </c>
      <c r="C4" s="2">
        <f>Lösungen!B3</f>
        <v>3</v>
      </c>
      <c r="D4" s="2" t="e">
        <f>PRODUCT(B4,C4)</f>
        <v>#VALUE!</v>
      </c>
      <c r="E4" s="2">
        <f>Lösungen!C3</f>
        <v>3</v>
      </c>
      <c r="F4" s="2" t="e">
        <f>PRODUCT(B4,E4)</f>
        <v>#VALUE!</v>
      </c>
      <c r="G4" s="2">
        <f>Lösungen!D3</f>
        <v>1</v>
      </c>
      <c r="H4" s="2" t="e">
        <f>PRODUCT(B4,G4)</f>
        <v>#VALUE!</v>
      </c>
    </row>
    <row r="5" spans="1:8" x14ac:dyDescent="0.25">
      <c r="A5" s="2" t="s">
        <v>8</v>
      </c>
      <c r="B5" s="2" t="e" cm="1">
        <f t="array" ref="B5">INDEX(Szenarien!B:S, $B$1+2, 3)</f>
        <v>#VALUE!</v>
      </c>
      <c r="C5" s="2">
        <f>Lösungen!B4</f>
        <v>1</v>
      </c>
      <c r="D5" s="2" t="e">
        <f t="shared" ref="D5:D17" si="0">PRODUCT(B5,C5)</f>
        <v>#VALUE!</v>
      </c>
      <c r="E5" s="2">
        <f>Lösungen!C4</f>
        <v>3</v>
      </c>
      <c r="F5" s="2" t="e">
        <f t="shared" ref="F5:F17" si="1">PRODUCT(B5,E5)</f>
        <v>#VALUE!</v>
      </c>
      <c r="G5" s="2">
        <f>Lösungen!D4</f>
        <v>2</v>
      </c>
      <c r="H5" s="2" t="e">
        <f t="shared" ref="H5:H17" si="2">PRODUCT(B5,G5)</f>
        <v>#VALUE!</v>
      </c>
    </row>
    <row r="6" spans="1:8" x14ac:dyDescent="0.25">
      <c r="A6" s="2" t="s">
        <v>25</v>
      </c>
      <c r="B6" s="2" t="e" cm="1">
        <f t="array" ref="B6">INDEX(Szenarien!B:S, $B$1+2, 4)</f>
        <v>#VALUE!</v>
      </c>
      <c r="C6" s="2">
        <f>Lösungen!B5</f>
        <v>3</v>
      </c>
      <c r="D6" s="2" t="e">
        <f t="shared" si="0"/>
        <v>#VALUE!</v>
      </c>
      <c r="E6" s="2">
        <f>Lösungen!C5</f>
        <v>3</v>
      </c>
      <c r="F6" s="2" t="e">
        <f t="shared" si="1"/>
        <v>#VALUE!</v>
      </c>
      <c r="G6" s="2">
        <f>Lösungen!D5</f>
        <v>3</v>
      </c>
      <c r="H6" s="2" t="e">
        <f t="shared" si="2"/>
        <v>#VALUE!</v>
      </c>
    </row>
    <row r="7" spans="1:8" x14ac:dyDescent="0.25">
      <c r="A7" s="2" t="s">
        <v>26</v>
      </c>
      <c r="B7" s="2" t="e" cm="1">
        <f t="array" ref="B7">INDEX(Szenarien!B:S, $B$1+2, 5)</f>
        <v>#VALUE!</v>
      </c>
      <c r="C7" s="2">
        <f>Lösungen!B6</f>
        <v>3</v>
      </c>
      <c r="D7" s="2" t="e">
        <f>PRODUCT(B7,C9)</f>
        <v>#VALUE!</v>
      </c>
      <c r="E7" s="2">
        <f>Lösungen!C6</f>
        <v>3</v>
      </c>
      <c r="F7" s="2" t="e">
        <f>PRODUCT(B7,E9)</f>
        <v>#VALUE!</v>
      </c>
      <c r="G7" s="2">
        <f>Lösungen!D6</f>
        <v>3</v>
      </c>
      <c r="H7" s="2" t="e">
        <f>PRODUCT(B7,G9)</f>
        <v>#VALUE!</v>
      </c>
    </row>
    <row r="8" spans="1:8" x14ac:dyDescent="0.25">
      <c r="A8" s="2" t="s">
        <v>27</v>
      </c>
      <c r="B8" s="2" t="e" cm="1">
        <f t="array" ref="B8">INDEX(Szenarien!B:S, $B$1+2, 6)</f>
        <v>#VALUE!</v>
      </c>
      <c r="C8" s="2">
        <f>Lösungen!B7</f>
        <v>3</v>
      </c>
      <c r="D8" s="2" t="e">
        <f t="shared" ref="D8:D9" si="3">PRODUCT(B8,C8)</f>
        <v>#VALUE!</v>
      </c>
      <c r="E8" s="2">
        <f>Lösungen!C7</f>
        <v>3</v>
      </c>
      <c r="F8" s="2" t="e">
        <f t="shared" ref="F8:F9" si="4">PRODUCT(B8,E8)</f>
        <v>#VALUE!</v>
      </c>
      <c r="G8" s="2">
        <f>Lösungen!D7</f>
        <v>3</v>
      </c>
      <c r="H8" s="2" t="e">
        <f t="shared" ref="H8:H9" si="5">PRODUCT(B8,G8)</f>
        <v>#VALUE!</v>
      </c>
    </row>
    <row r="9" spans="1:8" x14ac:dyDescent="0.25">
      <c r="A9" s="2" t="s">
        <v>28</v>
      </c>
      <c r="B9" s="2" t="e" cm="1">
        <f t="array" ref="B9">INDEX(Szenarien!B:S, $B$1+2, 7)</f>
        <v>#VALUE!</v>
      </c>
      <c r="C9" s="2">
        <f>Lösungen!B8</f>
        <v>3</v>
      </c>
      <c r="D9" s="2" t="e">
        <f t="shared" si="3"/>
        <v>#VALUE!</v>
      </c>
      <c r="E9" s="2">
        <f>Lösungen!C8</f>
        <v>2</v>
      </c>
      <c r="F9" s="2" t="e">
        <f t="shared" si="4"/>
        <v>#VALUE!</v>
      </c>
      <c r="G9" s="2">
        <f>Lösungen!D8</f>
        <v>2</v>
      </c>
      <c r="H9" s="2" t="e">
        <f t="shared" si="5"/>
        <v>#VALUE!</v>
      </c>
    </row>
    <row r="10" spans="1:8" x14ac:dyDescent="0.25">
      <c r="A10" s="2" t="s">
        <v>29</v>
      </c>
      <c r="B10" s="2" t="e" cm="1">
        <f t="array" ref="B10">INDEX(Szenarien!B:S, $B$1+2, 8)</f>
        <v>#VALUE!</v>
      </c>
      <c r="C10" s="2">
        <f>Lösungen!B9</f>
        <v>3</v>
      </c>
      <c r="D10" s="2" t="e">
        <f t="shared" si="0"/>
        <v>#VALUE!</v>
      </c>
      <c r="E10" s="2">
        <f>Lösungen!C9</f>
        <v>3</v>
      </c>
      <c r="F10" s="2" t="e">
        <f t="shared" si="1"/>
        <v>#VALUE!</v>
      </c>
      <c r="G10" s="2">
        <f>Lösungen!D9</f>
        <v>3</v>
      </c>
      <c r="H10" s="2" t="e">
        <f t="shared" si="2"/>
        <v>#VALUE!</v>
      </c>
    </row>
    <row r="11" spans="1:8" x14ac:dyDescent="0.25">
      <c r="A11" s="2" t="s">
        <v>30</v>
      </c>
      <c r="B11" s="2" t="e" cm="1">
        <f t="array" ref="B11">INDEX(Szenarien!B:S, $B$1+2, 9)</f>
        <v>#VALUE!</v>
      </c>
      <c r="C11" s="2">
        <f>Lösungen!B10</f>
        <v>3</v>
      </c>
      <c r="D11" s="2" t="e">
        <f t="shared" si="0"/>
        <v>#VALUE!</v>
      </c>
      <c r="E11" s="2">
        <f>Lösungen!C10</f>
        <v>1</v>
      </c>
      <c r="F11" s="2" t="e">
        <f t="shared" si="1"/>
        <v>#VALUE!</v>
      </c>
      <c r="G11" s="2">
        <f>Lösungen!D10</f>
        <v>1</v>
      </c>
      <c r="H11" s="2" t="e">
        <f t="shared" si="2"/>
        <v>#VALUE!</v>
      </c>
    </row>
    <row r="12" spans="1:8" x14ac:dyDescent="0.25">
      <c r="A12" s="2" t="s">
        <v>10</v>
      </c>
      <c r="B12" s="2" t="e" cm="1">
        <f t="array" ref="B12">INDEX(Szenarien!B:S, $B$1+2, 10)</f>
        <v>#VALUE!</v>
      </c>
      <c r="C12" s="2">
        <f>Lösungen!B11</f>
        <v>3</v>
      </c>
      <c r="D12" s="2" t="e">
        <f t="shared" ref="D12" si="6">PRODUCT(B12,C16)</f>
        <v>#VALUE!</v>
      </c>
      <c r="E12" s="2">
        <f>Lösungen!C11</f>
        <v>2</v>
      </c>
      <c r="F12" s="2" t="e">
        <f t="shared" ref="F12" si="7">PRODUCT(B12,E16)</f>
        <v>#VALUE!</v>
      </c>
      <c r="G12" s="2">
        <f>Lösungen!D11</f>
        <v>1</v>
      </c>
      <c r="H12" s="2" t="e">
        <f t="shared" ref="H12" si="8">PRODUCT(B12,G16)</f>
        <v>#VALUE!</v>
      </c>
    </row>
    <row r="13" spans="1:8" x14ac:dyDescent="0.25">
      <c r="A13" s="2" t="s">
        <v>43</v>
      </c>
      <c r="B13" s="2" t="e" cm="1">
        <f t="array" ref="B13">INDEX(Szenarien!B:S, $B$1+2, 11)</f>
        <v>#VALUE!</v>
      </c>
      <c r="C13" s="2">
        <f>Lösungen!B12</f>
        <v>3</v>
      </c>
      <c r="D13" s="2" t="e">
        <f t="shared" ref="D13" si="9">PRODUCT(B13,C13)</f>
        <v>#VALUE!</v>
      </c>
      <c r="E13" s="2">
        <f>Lösungen!C12</f>
        <v>3</v>
      </c>
      <c r="F13" s="2" t="e">
        <f t="shared" ref="F13" si="10">PRODUCT(B13,E13)</f>
        <v>#VALUE!</v>
      </c>
      <c r="G13" s="2">
        <f>Lösungen!D12</f>
        <v>2</v>
      </c>
      <c r="H13" s="2" t="e">
        <f t="shared" ref="H13" si="11">PRODUCT(B13,G13)</f>
        <v>#VALUE!</v>
      </c>
    </row>
    <row r="14" spans="1:8" x14ac:dyDescent="0.25">
      <c r="A14" s="2" t="s">
        <v>39</v>
      </c>
      <c r="B14" s="2" t="e" cm="1">
        <f t="array" ref="B14">INDEX(Szenarien!B:S, $B$1+2, 12)</f>
        <v>#VALUE!</v>
      </c>
      <c r="C14" s="2">
        <f>Lösungen!B13</f>
        <v>3</v>
      </c>
      <c r="D14" s="2" t="e">
        <f>PRODUCT(B14,C14)</f>
        <v>#VALUE!</v>
      </c>
      <c r="E14" s="2">
        <f>Lösungen!C13</f>
        <v>1</v>
      </c>
      <c r="F14" s="2" t="e">
        <f>PRODUCT(B14,E14)</f>
        <v>#VALUE!</v>
      </c>
      <c r="G14" s="2">
        <f>Lösungen!D13</f>
        <v>1</v>
      </c>
      <c r="H14" s="2" t="e">
        <f>PRODUCT(B14,G14)</f>
        <v>#VALUE!</v>
      </c>
    </row>
    <row r="15" spans="1:8" x14ac:dyDescent="0.25">
      <c r="A15" s="2" t="s">
        <v>31</v>
      </c>
      <c r="B15" s="2" t="e" cm="1">
        <f t="array" ref="B15">INDEX(Szenarien!B:S, $B$1+2, 13)</f>
        <v>#VALUE!</v>
      </c>
      <c r="C15" s="2">
        <f>Lösungen!B14</f>
        <v>3</v>
      </c>
      <c r="D15" s="2" t="e">
        <f>PRODUCT(B15,C15)</f>
        <v>#VALUE!</v>
      </c>
      <c r="E15" s="2">
        <f>Lösungen!C14</f>
        <v>3</v>
      </c>
      <c r="F15" s="2" t="e">
        <f>PRODUCT(B15,E15)</f>
        <v>#VALUE!</v>
      </c>
      <c r="G15" s="2">
        <f>Lösungen!D14</f>
        <v>3</v>
      </c>
      <c r="H15" s="2" t="e">
        <f>PRODUCT(B15,G15)</f>
        <v>#VALUE!</v>
      </c>
    </row>
    <row r="16" spans="1:8" x14ac:dyDescent="0.25">
      <c r="A16" s="2" t="s">
        <v>32</v>
      </c>
      <c r="B16" s="2" t="e" cm="1">
        <f t="array" ref="B16">INDEX(Szenarien!B:S, $B$1+2, 14)</f>
        <v>#VALUE!</v>
      </c>
      <c r="C16" s="2">
        <f>Lösungen!B15</f>
        <v>3</v>
      </c>
      <c r="D16" s="2" t="e">
        <f t="shared" si="0"/>
        <v>#VALUE!</v>
      </c>
      <c r="E16" s="2">
        <f>Lösungen!C15</f>
        <v>3</v>
      </c>
      <c r="F16" s="2" t="e">
        <f t="shared" si="1"/>
        <v>#VALUE!</v>
      </c>
      <c r="G16" s="2">
        <f>Lösungen!D15</f>
        <v>1</v>
      </c>
      <c r="H16" s="2" t="e">
        <f t="shared" si="2"/>
        <v>#VALUE!</v>
      </c>
    </row>
    <row r="17" spans="1:8" x14ac:dyDescent="0.25">
      <c r="A17" s="2" t="s">
        <v>33</v>
      </c>
      <c r="B17" s="2" t="e" cm="1">
        <f t="array" ref="B17">INDEX(Szenarien!B:S, $B$1+2, 15)</f>
        <v>#VALUE!</v>
      </c>
      <c r="C17" s="2">
        <f>Lösungen!B16</f>
        <v>2</v>
      </c>
      <c r="D17" s="2" t="e">
        <f t="shared" si="0"/>
        <v>#VALUE!</v>
      </c>
      <c r="E17" s="2">
        <f>Lösungen!C16</f>
        <v>3</v>
      </c>
      <c r="F17" s="2" t="e">
        <f t="shared" si="1"/>
        <v>#VALUE!</v>
      </c>
      <c r="G17" s="2">
        <f>Lösungen!D16</f>
        <v>1</v>
      </c>
      <c r="H17" s="2" t="e">
        <f t="shared" si="2"/>
        <v>#VALUE!</v>
      </c>
    </row>
    <row r="18" spans="1:8" x14ac:dyDescent="0.25">
      <c r="A18" s="2" t="s">
        <v>34</v>
      </c>
      <c r="B18" s="2" t="e" cm="1">
        <f t="array" ref="B18">INDEX(Szenarien!B:S, $B$1+2, 16)</f>
        <v>#VALUE!</v>
      </c>
      <c r="C18" s="2">
        <f>Lösungen!B17</f>
        <v>1</v>
      </c>
      <c r="D18" s="2" t="e">
        <f>PRODUCT(B18,C20)</f>
        <v>#VALUE!</v>
      </c>
      <c r="E18" s="2">
        <f>Lösungen!C17</f>
        <v>3</v>
      </c>
      <c r="F18" s="2" t="e">
        <f>PRODUCT(B18,E20)</f>
        <v>#VALUE!</v>
      </c>
      <c r="G18" s="2">
        <f>Lösungen!D17</f>
        <v>1</v>
      </c>
      <c r="H18" s="2" t="e">
        <f>PRODUCT(B18,G20)</f>
        <v>#VALUE!</v>
      </c>
    </row>
    <row r="19" spans="1:8" x14ac:dyDescent="0.25">
      <c r="A19" s="2" t="s">
        <v>45</v>
      </c>
      <c r="B19" s="2" t="e" cm="1">
        <f t="array" ref="B19">INDEX(Szenarien!B:S, $B$1+2, 17)</f>
        <v>#VALUE!</v>
      </c>
      <c r="C19" s="2">
        <f>Lösungen!B18</f>
        <v>3</v>
      </c>
      <c r="D19" s="2" t="e">
        <f t="shared" ref="D19:D20" si="12">PRODUCT(B19,C19)</f>
        <v>#VALUE!</v>
      </c>
      <c r="E19" s="2">
        <f>Lösungen!C18</f>
        <v>1</v>
      </c>
      <c r="F19" s="2" t="e">
        <f t="shared" ref="F19:F20" si="13">PRODUCT(B19,E19)</f>
        <v>#VALUE!</v>
      </c>
      <c r="G19" s="2">
        <f>Lösungen!D18</f>
        <v>2</v>
      </c>
      <c r="H19" s="2" t="e">
        <f t="shared" ref="H19:H20" si="14">PRODUCT(B19,G19)</f>
        <v>#VALUE!</v>
      </c>
    </row>
    <row r="20" spans="1:8" x14ac:dyDescent="0.25">
      <c r="A20" s="2" t="s">
        <v>6</v>
      </c>
      <c r="B20" s="2" t="e" cm="1">
        <f t="array" ref="B20">INDEX(Szenarien!B:S, $B$1+2, 18)</f>
        <v>#VALUE!</v>
      </c>
      <c r="C20" s="2">
        <f>Lösungen!B19</f>
        <v>3</v>
      </c>
      <c r="D20" s="2" t="e">
        <f t="shared" si="12"/>
        <v>#VALUE!</v>
      </c>
      <c r="E20" s="2">
        <f>Lösungen!C19</f>
        <v>1</v>
      </c>
      <c r="F20" s="2" t="e">
        <f t="shared" si="13"/>
        <v>#VALUE!</v>
      </c>
      <c r="G20" s="2">
        <f>Lösungen!D19</f>
        <v>2</v>
      </c>
      <c r="H20" s="2" t="e">
        <f t="shared" si="14"/>
        <v>#VALUE!</v>
      </c>
    </row>
    <row r="21" spans="1:8" x14ac:dyDescent="0.25">
      <c r="A21" s="5" t="s">
        <v>13</v>
      </c>
      <c r="B21" s="5" t="e">
        <f>SUM(B3:B20)</f>
        <v>#VALUE!</v>
      </c>
      <c r="C21" s="5"/>
      <c r="D21" s="5" t="e">
        <f>SUM(D3:D20)</f>
        <v>#VALUE!</v>
      </c>
      <c r="E21" s="5"/>
      <c r="F21" s="5" t="e">
        <f>SUM(F3:F20)</f>
        <v>#VALUE!</v>
      </c>
      <c r="G21" s="5"/>
      <c r="H21" s="5" t="e">
        <f t="shared" ref="H21" si="15">SUM(H3:H20)</f>
        <v>#VALUE!</v>
      </c>
    </row>
    <row r="22" spans="1:8" x14ac:dyDescent="0.25">
      <c r="A22" s="5" t="s">
        <v>49</v>
      </c>
      <c r="B22" s="5"/>
      <c r="C22" s="5"/>
      <c r="D22" s="5">
        <v>77.5</v>
      </c>
      <c r="E22" s="5"/>
      <c r="F22" s="5">
        <v>67.5</v>
      </c>
      <c r="G22" s="5"/>
      <c r="H22" s="5">
        <v>35</v>
      </c>
    </row>
    <row r="23" spans="1:8" x14ac:dyDescent="0.25">
      <c r="A23" s="5" t="s">
        <v>14</v>
      </c>
      <c r="B23" s="5"/>
      <c r="C23" s="5"/>
      <c r="D23" s="5" t="e">
        <f>1+(F21&gt;D21)+(H21&gt;D21)</f>
        <v>#VALUE!</v>
      </c>
      <c r="E23" s="5"/>
      <c r="F23" s="5" t="e">
        <f>1+(D21&gt;F21)+(H21&gt;F21)</f>
        <v>#VALUE!</v>
      </c>
      <c r="G23" s="5"/>
      <c r="H23" s="5" t="e">
        <f>1+(D21&gt;H21)+(F21&gt;H21)</f>
        <v>#VALUE!</v>
      </c>
    </row>
    <row r="24" spans="1:8" x14ac:dyDescent="0.25">
      <c r="A24" s="1"/>
      <c r="B24" s="1"/>
      <c r="C24" s="1"/>
      <c r="D24" s="1"/>
      <c r="E24" s="1"/>
      <c r="F24" s="1"/>
      <c r="G24" s="1"/>
      <c r="H24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D0C7-9947-4E69-B2DF-3FF6EA0BA4AB}">
  <dimension ref="A1:H24"/>
  <sheetViews>
    <sheetView tabSelected="1" zoomScale="160" zoomScaleNormal="160" workbookViewId="0">
      <selection activeCell="A28" sqref="A28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18</v>
      </c>
      <c r="B1" s="4">
        <v>1</v>
      </c>
      <c r="C1" s="13" t="s">
        <v>46</v>
      </c>
      <c r="D1" s="13"/>
      <c r="E1" s="13" t="s">
        <v>12</v>
      </c>
      <c r="F1" s="13"/>
      <c r="G1" s="13" t="s">
        <v>17</v>
      </c>
      <c r="H1" s="13"/>
    </row>
    <row r="2" spans="1:8" x14ac:dyDescent="0.25">
      <c r="A2" s="4" t="s">
        <v>9</v>
      </c>
      <c r="B2" s="4" t="s">
        <v>11</v>
      </c>
      <c r="C2" s="4" t="s">
        <v>48</v>
      </c>
      <c r="D2" s="4" t="s">
        <v>47</v>
      </c>
      <c r="E2" s="4" t="s">
        <v>48</v>
      </c>
      <c r="F2" s="4" t="s">
        <v>47</v>
      </c>
      <c r="G2" s="4" t="s">
        <v>48</v>
      </c>
      <c r="H2" s="4" t="s">
        <v>47</v>
      </c>
    </row>
    <row r="3" spans="1:8" x14ac:dyDescent="0.25">
      <c r="A3" s="2" t="s">
        <v>1</v>
      </c>
      <c r="B3" s="2" cm="1">
        <f t="array" ref="B3">INDEX(Szenarien!B:S, $B$1+2, 1)</f>
        <v>50</v>
      </c>
      <c r="C3" s="2">
        <f>Lösungen!B2</f>
        <v>1</v>
      </c>
      <c r="D3" s="2">
        <f>PRODUCT(B3,C3)</f>
        <v>50</v>
      </c>
      <c r="E3" s="2">
        <f>Lösungen!C2</f>
        <v>2</v>
      </c>
      <c r="F3" s="2">
        <f>PRODUCT(B3,E3)</f>
        <v>100</v>
      </c>
      <c r="G3" s="2">
        <f>Lösungen!D2</f>
        <v>3</v>
      </c>
      <c r="H3" s="2">
        <f>PRODUCT(B3,G3)</f>
        <v>150</v>
      </c>
    </row>
    <row r="4" spans="1:8" x14ac:dyDescent="0.25">
      <c r="A4" s="2" t="s">
        <v>7</v>
      </c>
      <c r="B4" s="2" cm="1">
        <f t="array" ref="B4">INDEX(Szenarien!B:S, $B$1+2, 2)</f>
        <v>5</v>
      </c>
      <c r="C4" s="2">
        <f>Lösungen!B3</f>
        <v>3</v>
      </c>
      <c r="D4" s="2">
        <f>PRODUCT(B4,C4)</f>
        <v>15</v>
      </c>
      <c r="E4" s="2">
        <f>Lösungen!C3</f>
        <v>3</v>
      </c>
      <c r="F4" s="2">
        <f>PRODUCT(B4,E4)</f>
        <v>15</v>
      </c>
      <c r="G4" s="2">
        <f>Lösungen!D3</f>
        <v>1</v>
      </c>
      <c r="H4" s="2">
        <f>PRODUCT(B4,G4)</f>
        <v>5</v>
      </c>
    </row>
    <row r="5" spans="1:8" x14ac:dyDescent="0.25">
      <c r="A5" s="2" t="s">
        <v>8</v>
      </c>
      <c r="B5" s="2" cm="1">
        <f t="array" ref="B5">INDEX(Szenarien!B:S, $B$1+2, 3)</f>
        <v>0</v>
      </c>
      <c r="C5" s="2">
        <f>Lösungen!B4</f>
        <v>1</v>
      </c>
      <c r="D5" s="2">
        <f t="shared" ref="D5:D6" si="0">PRODUCT(B5,C5)</f>
        <v>0</v>
      </c>
      <c r="E5" s="2">
        <f>Lösungen!C4</f>
        <v>3</v>
      </c>
      <c r="F5" s="2">
        <f t="shared" ref="F5:F6" si="1">PRODUCT(B5,E5)</f>
        <v>0</v>
      </c>
      <c r="G5" s="2">
        <f>Lösungen!D4</f>
        <v>2</v>
      </c>
      <c r="H5" s="2">
        <f t="shared" ref="H5:H6" si="2">PRODUCT(B5,G5)</f>
        <v>0</v>
      </c>
    </row>
    <row r="6" spans="1:8" x14ac:dyDescent="0.25">
      <c r="A6" s="2" t="s">
        <v>25</v>
      </c>
      <c r="B6" s="2" cm="1">
        <f t="array" ref="B6">INDEX(Szenarien!B:S, $B$1+2, 4)</f>
        <v>10</v>
      </c>
      <c r="C6" s="2">
        <f>Lösungen!B5</f>
        <v>3</v>
      </c>
      <c r="D6" s="2">
        <f t="shared" si="0"/>
        <v>30</v>
      </c>
      <c r="E6" s="2">
        <f>Lösungen!C5</f>
        <v>3</v>
      </c>
      <c r="F6" s="2">
        <f t="shared" si="1"/>
        <v>30</v>
      </c>
      <c r="G6" s="2">
        <f>Lösungen!D5</f>
        <v>3</v>
      </c>
      <c r="H6" s="2">
        <f t="shared" si="2"/>
        <v>30</v>
      </c>
    </row>
    <row r="7" spans="1:8" x14ac:dyDescent="0.25">
      <c r="A7" s="2" t="s">
        <v>26</v>
      </c>
      <c r="B7" s="2" cm="1">
        <f t="array" ref="B7">INDEX(Szenarien!B:S, $B$1+2, 5)</f>
        <v>5</v>
      </c>
      <c r="C7" s="2">
        <f>Lösungen!B6</f>
        <v>3</v>
      </c>
      <c r="D7" s="2">
        <f>PRODUCT(B7,C9)</f>
        <v>15</v>
      </c>
      <c r="E7" s="2">
        <f>Lösungen!C6</f>
        <v>3</v>
      </c>
      <c r="F7" s="2">
        <f>PRODUCT(B7,E9)</f>
        <v>10</v>
      </c>
      <c r="G7" s="2">
        <f>Lösungen!D6</f>
        <v>3</v>
      </c>
      <c r="H7" s="2">
        <f>PRODUCT(B7,G9)</f>
        <v>10</v>
      </c>
    </row>
    <row r="8" spans="1:8" x14ac:dyDescent="0.25">
      <c r="A8" s="2" t="s">
        <v>27</v>
      </c>
      <c r="B8" s="2" cm="1">
        <f t="array" ref="B8">INDEX(Szenarien!B:S, $B$1+2, 6)</f>
        <v>0</v>
      </c>
      <c r="C8" s="2">
        <f>Lösungen!B7</f>
        <v>3</v>
      </c>
      <c r="D8" s="2">
        <f t="shared" ref="D8:D11" si="3">PRODUCT(B8,C8)</f>
        <v>0</v>
      </c>
      <c r="E8" s="2">
        <f>Lösungen!C7</f>
        <v>3</v>
      </c>
      <c r="F8" s="2">
        <f t="shared" ref="F8:F11" si="4">PRODUCT(B8,E8)</f>
        <v>0</v>
      </c>
      <c r="G8" s="2">
        <f>Lösungen!D7</f>
        <v>3</v>
      </c>
      <c r="H8" s="2">
        <f t="shared" ref="H8:H11" si="5">PRODUCT(B8,G8)</f>
        <v>0</v>
      </c>
    </row>
    <row r="9" spans="1:8" x14ac:dyDescent="0.25">
      <c r="A9" s="2" t="s">
        <v>28</v>
      </c>
      <c r="B9" s="2" cm="1">
        <f t="array" ref="B9">INDEX(Szenarien!B:S, $B$1+2, 7)</f>
        <v>7</v>
      </c>
      <c r="C9" s="2">
        <f>Lösungen!B8</f>
        <v>3</v>
      </c>
      <c r="D9" s="2">
        <f t="shared" si="3"/>
        <v>21</v>
      </c>
      <c r="E9" s="2">
        <f>Lösungen!C8</f>
        <v>2</v>
      </c>
      <c r="F9" s="2">
        <f t="shared" si="4"/>
        <v>14</v>
      </c>
      <c r="G9" s="2">
        <f>Lösungen!D8</f>
        <v>2</v>
      </c>
      <c r="H9" s="2">
        <f t="shared" si="5"/>
        <v>14</v>
      </c>
    </row>
    <row r="10" spans="1:8" x14ac:dyDescent="0.25">
      <c r="A10" s="2" t="s">
        <v>29</v>
      </c>
      <c r="B10" s="2" cm="1">
        <f t="array" ref="B10">INDEX(Szenarien!B:S, $B$1+2, 8)</f>
        <v>0</v>
      </c>
      <c r="C10" s="2">
        <f>Lösungen!B9</f>
        <v>3</v>
      </c>
      <c r="D10" s="2">
        <f t="shared" si="3"/>
        <v>0</v>
      </c>
      <c r="E10" s="2">
        <f>Lösungen!C9</f>
        <v>3</v>
      </c>
      <c r="F10" s="2">
        <f t="shared" si="4"/>
        <v>0</v>
      </c>
      <c r="G10" s="2">
        <f>Lösungen!D9</f>
        <v>3</v>
      </c>
      <c r="H10" s="2">
        <f t="shared" si="5"/>
        <v>0</v>
      </c>
    </row>
    <row r="11" spans="1:8" x14ac:dyDescent="0.25">
      <c r="A11" s="2" t="s">
        <v>30</v>
      </c>
      <c r="B11" s="2" cm="1">
        <f t="array" ref="B11">INDEX(Szenarien!B:S, $B$1+2, 9)</f>
        <v>3</v>
      </c>
      <c r="C11" s="2">
        <f>Lösungen!B10</f>
        <v>3</v>
      </c>
      <c r="D11" s="2">
        <f t="shared" si="3"/>
        <v>9</v>
      </c>
      <c r="E11" s="2">
        <f>Lösungen!C10</f>
        <v>1</v>
      </c>
      <c r="F11" s="2">
        <f t="shared" si="4"/>
        <v>3</v>
      </c>
      <c r="G11" s="2">
        <f>Lösungen!D10</f>
        <v>1</v>
      </c>
      <c r="H11" s="2">
        <f t="shared" si="5"/>
        <v>3</v>
      </c>
    </row>
    <row r="12" spans="1:8" x14ac:dyDescent="0.25">
      <c r="A12" s="2" t="s">
        <v>10</v>
      </c>
      <c r="B12" s="2" cm="1">
        <f t="array" ref="B12">INDEX(Szenarien!B:S, $B$1+2, 10)</f>
        <v>0</v>
      </c>
      <c r="C12" s="2">
        <f>Lösungen!B11</f>
        <v>3</v>
      </c>
      <c r="D12" s="2">
        <f t="shared" ref="D12" si="6">PRODUCT(B12,C16)</f>
        <v>0</v>
      </c>
      <c r="E12" s="2">
        <f>Lösungen!C11</f>
        <v>2</v>
      </c>
      <c r="F12" s="2">
        <f t="shared" ref="F12" si="7">PRODUCT(B12,E16)</f>
        <v>0</v>
      </c>
      <c r="G12" s="2">
        <f>Lösungen!D11</f>
        <v>1</v>
      </c>
      <c r="H12" s="2">
        <f t="shared" ref="H12" si="8">PRODUCT(B12,G16)</f>
        <v>0</v>
      </c>
    </row>
    <row r="13" spans="1:8" x14ac:dyDescent="0.25">
      <c r="A13" s="2" t="s">
        <v>43</v>
      </c>
      <c r="B13" s="2" cm="1">
        <f t="array" ref="B13">INDEX(Szenarien!B:S, $B$1+2, 11)</f>
        <v>2.5</v>
      </c>
      <c r="C13" s="2">
        <f>Lösungen!B12</f>
        <v>3</v>
      </c>
      <c r="D13" s="2">
        <f t="shared" ref="D13" si="9">PRODUCT(B13,C13)</f>
        <v>7.5</v>
      </c>
      <c r="E13" s="2">
        <f>Lösungen!C12</f>
        <v>3</v>
      </c>
      <c r="F13" s="2">
        <f t="shared" ref="F13" si="10">PRODUCT(B13,E13)</f>
        <v>7.5</v>
      </c>
      <c r="G13" s="2">
        <f>Lösungen!D12</f>
        <v>2</v>
      </c>
      <c r="H13" s="2">
        <f t="shared" ref="H13" si="11">PRODUCT(B13,G13)</f>
        <v>5</v>
      </c>
    </row>
    <row r="14" spans="1:8" x14ac:dyDescent="0.25">
      <c r="A14" s="2" t="s">
        <v>39</v>
      </c>
      <c r="B14" s="2" cm="1">
        <f t="array" ref="B14">INDEX(Szenarien!B:S, $B$1+2, 12)</f>
        <v>2.5</v>
      </c>
      <c r="C14" s="2">
        <f>Lösungen!B13</f>
        <v>3</v>
      </c>
      <c r="D14" s="2">
        <f>PRODUCT(B14,C14)</f>
        <v>7.5</v>
      </c>
      <c r="E14" s="2">
        <f>Lösungen!C13</f>
        <v>1</v>
      </c>
      <c r="F14" s="2">
        <f>PRODUCT(B14,E14)</f>
        <v>2.5</v>
      </c>
      <c r="G14" s="2">
        <f>Lösungen!D13</f>
        <v>1</v>
      </c>
      <c r="H14" s="2">
        <f>PRODUCT(B14,G14)</f>
        <v>2.5</v>
      </c>
    </row>
    <row r="15" spans="1:8" x14ac:dyDescent="0.25">
      <c r="A15" s="2" t="s">
        <v>31</v>
      </c>
      <c r="B15" s="2" cm="1">
        <f t="array" ref="B15">INDEX(Szenarien!B:S, $B$1+2, 13)</f>
        <v>0</v>
      </c>
      <c r="C15" s="2">
        <f>Lösungen!B14</f>
        <v>3</v>
      </c>
      <c r="D15" s="2">
        <f>PRODUCT(B15,C15)</f>
        <v>0</v>
      </c>
      <c r="E15" s="2">
        <f>Lösungen!C14</f>
        <v>3</v>
      </c>
      <c r="F15" s="2">
        <f>PRODUCT(B15,E15)</f>
        <v>0</v>
      </c>
      <c r="G15" s="2">
        <f>Lösungen!D14</f>
        <v>3</v>
      </c>
      <c r="H15" s="2">
        <f>PRODUCT(B15,G15)</f>
        <v>0</v>
      </c>
    </row>
    <row r="16" spans="1:8" x14ac:dyDescent="0.25">
      <c r="A16" s="2" t="s">
        <v>32</v>
      </c>
      <c r="B16" s="2" cm="1">
        <f t="array" ref="B16">INDEX(Szenarien!B:S, $B$1+2, 14)</f>
        <v>0</v>
      </c>
      <c r="C16" s="2">
        <f>Lösungen!B15</f>
        <v>3</v>
      </c>
      <c r="D16" s="2">
        <f t="shared" ref="D16:D17" si="12">PRODUCT(B16,C16)</f>
        <v>0</v>
      </c>
      <c r="E16" s="2">
        <f>Lösungen!C15</f>
        <v>3</v>
      </c>
      <c r="F16" s="2">
        <f t="shared" ref="F16:F17" si="13">PRODUCT(B16,E16)</f>
        <v>0</v>
      </c>
      <c r="G16" s="2">
        <f>Lösungen!D15</f>
        <v>1</v>
      </c>
      <c r="H16" s="2">
        <f t="shared" ref="H16:H17" si="14">PRODUCT(B16,G16)</f>
        <v>0</v>
      </c>
    </row>
    <row r="17" spans="1:8" x14ac:dyDescent="0.25">
      <c r="A17" s="2" t="s">
        <v>33</v>
      </c>
      <c r="B17" s="2" cm="1">
        <f t="array" ref="B17">INDEX(Szenarien!B:S, $B$1+2, 15)</f>
        <v>0</v>
      </c>
      <c r="C17" s="2">
        <f>Lösungen!B16</f>
        <v>2</v>
      </c>
      <c r="D17" s="2">
        <f t="shared" si="12"/>
        <v>0</v>
      </c>
      <c r="E17" s="2">
        <f>Lösungen!C16</f>
        <v>3</v>
      </c>
      <c r="F17" s="2">
        <f t="shared" si="13"/>
        <v>0</v>
      </c>
      <c r="G17" s="2">
        <f>Lösungen!D16</f>
        <v>1</v>
      </c>
      <c r="H17" s="2">
        <f t="shared" si="14"/>
        <v>0</v>
      </c>
    </row>
    <row r="18" spans="1:8" x14ac:dyDescent="0.25">
      <c r="A18" s="2" t="s">
        <v>34</v>
      </c>
      <c r="B18" s="2" cm="1">
        <f t="array" ref="B18">INDEX(Szenarien!B:S, $B$1+2, 16)</f>
        <v>0</v>
      </c>
      <c r="C18" s="2">
        <f>Lösungen!B17</f>
        <v>1</v>
      </c>
      <c r="D18" s="2">
        <f>PRODUCT(B18,C20)</f>
        <v>0</v>
      </c>
      <c r="E18" s="2">
        <f>Lösungen!C17</f>
        <v>3</v>
      </c>
      <c r="F18" s="2">
        <f>PRODUCT(B18,E20)</f>
        <v>0</v>
      </c>
      <c r="G18" s="2">
        <f>Lösungen!D17</f>
        <v>1</v>
      </c>
      <c r="H18" s="2">
        <f>PRODUCT(B18,G20)</f>
        <v>0</v>
      </c>
    </row>
    <row r="19" spans="1:8" x14ac:dyDescent="0.25">
      <c r="A19" s="2" t="s">
        <v>45</v>
      </c>
      <c r="B19" s="2" cm="1">
        <f t="array" ref="B19">INDEX(Szenarien!B:S, $B$1+2, 17)</f>
        <v>10</v>
      </c>
      <c r="C19" s="2">
        <f>Lösungen!B18</f>
        <v>3</v>
      </c>
      <c r="D19" s="2">
        <f t="shared" ref="D19:D20" si="15">PRODUCT(B19,C19)</f>
        <v>30</v>
      </c>
      <c r="E19" s="2">
        <f>Lösungen!C18</f>
        <v>1</v>
      </c>
      <c r="F19" s="2">
        <f t="shared" ref="F19:F20" si="16">PRODUCT(B19,E19)</f>
        <v>10</v>
      </c>
      <c r="G19" s="2">
        <f>Lösungen!D18</f>
        <v>2</v>
      </c>
      <c r="H19" s="2">
        <f t="shared" ref="H19:H20" si="17">PRODUCT(B19,G19)</f>
        <v>20</v>
      </c>
    </row>
    <row r="20" spans="1:8" x14ac:dyDescent="0.25">
      <c r="A20" s="2" t="s">
        <v>6</v>
      </c>
      <c r="B20" s="2" cm="1">
        <f t="array" ref="B20">INDEX(Szenarien!B:S, $B$1+2, 18)</f>
        <v>5</v>
      </c>
      <c r="C20" s="2">
        <f>Lösungen!B19</f>
        <v>3</v>
      </c>
      <c r="D20" s="2">
        <f t="shared" si="15"/>
        <v>15</v>
      </c>
      <c r="E20" s="2">
        <f>Lösungen!C19</f>
        <v>1</v>
      </c>
      <c r="F20" s="2">
        <f t="shared" si="16"/>
        <v>5</v>
      </c>
      <c r="G20" s="2">
        <f>Lösungen!D19</f>
        <v>2</v>
      </c>
      <c r="H20" s="2">
        <f t="shared" si="17"/>
        <v>10</v>
      </c>
    </row>
    <row r="21" spans="1:8" x14ac:dyDescent="0.25">
      <c r="A21" s="5" t="s">
        <v>13</v>
      </c>
      <c r="B21" s="5">
        <f>SUM(B3:B20)</f>
        <v>100</v>
      </c>
      <c r="C21" s="5"/>
      <c r="D21" s="5">
        <f>SUM(D3:D20)</f>
        <v>200</v>
      </c>
      <c r="E21" s="5"/>
      <c r="F21" s="5">
        <f>SUM(F3:F20)</f>
        <v>197</v>
      </c>
      <c r="G21" s="5"/>
      <c r="H21" s="5">
        <f t="shared" ref="H21" si="18">SUM(H3:H20)</f>
        <v>249.5</v>
      </c>
    </row>
    <row r="22" spans="1:8" x14ac:dyDescent="0.25">
      <c r="A22" s="5" t="s">
        <v>49</v>
      </c>
      <c r="B22" s="5"/>
      <c r="C22" s="5"/>
      <c r="D22" s="5">
        <v>77.5</v>
      </c>
      <c r="E22" s="5"/>
      <c r="F22" s="5">
        <v>67.5</v>
      </c>
      <c r="G22" s="5"/>
      <c r="H22" s="5">
        <v>35</v>
      </c>
    </row>
    <row r="23" spans="1:8" x14ac:dyDescent="0.25">
      <c r="A23" s="5" t="s">
        <v>14</v>
      </c>
      <c r="B23" s="5"/>
      <c r="C23" s="5"/>
      <c r="D23" s="5">
        <f>1+(F21&gt;D21)+(H21&gt;D21)</f>
        <v>2</v>
      </c>
      <c r="E23" s="5"/>
      <c r="F23" s="5">
        <f>1+(D21&gt;F21)+(H21&gt;F21)</f>
        <v>3</v>
      </c>
      <c r="G23" s="5"/>
      <c r="H23" s="5">
        <f>1+(D21&gt;H21)+(F21&gt;H21)</f>
        <v>1</v>
      </c>
    </row>
    <row r="24" spans="1:8" x14ac:dyDescent="0.25">
      <c r="A24" s="1"/>
      <c r="B24" s="1"/>
      <c r="C24" s="1"/>
      <c r="D24" s="1"/>
      <c r="E24" s="1"/>
      <c r="F24" s="1"/>
      <c r="G24" s="1"/>
      <c r="H24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692A-538C-4C44-A444-ADBE0DF71642}">
  <dimension ref="A1:H24"/>
  <sheetViews>
    <sheetView zoomScale="160" zoomScaleNormal="160" workbookViewId="0">
      <selection activeCell="A25" sqref="A25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18</v>
      </c>
      <c r="B1" s="4">
        <v>2</v>
      </c>
      <c r="C1" s="13" t="s">
        <v>46</v>
      </c>
      <c r="D1" s="13"/>
      <c r="E1" s="13" t="s">
        <v>12</v>
      </c>
      <c r="F1" s="13"/>
      <c r="G1" s="13" t="s">
        <v>17</v>
      </c>
      <c r="H1" s="13"/>
    </row>
    <row r="2" spans="1:8" x14ac:dyDescent="0.25">
      <c r="A2" s="4" t="s">
        <v>9</v>
      </c>
      <c r="B2" s="4" t="s">
        <v>11</v>
      </c>
      <c r="C2" s="4" t="s">
        <v>48</v>
      </c>
      <c r="D2" s="4" t="s">
        <v>47</v>
      </c>
      <c r="E2" s="4" t="s">
        <v>48</v>
      </c>
      <c r="F2" s="4" t="s">
        <v>47</v>
      </c>
      <c r="G2" s="4" t="s">
        <v>48</v>
      </c>
      <c r="H2" s="4" t="s">
        <v>47</v>
      </c>
    </row>
    <row r="3" spans="1:8" x14ac:dyDescent="0.25">
      <c r="A3" s="2" t="s">
        <v>1</v>
      </c>
      <c r="B3" s="2" cm="1">
        <f t="array" ref="B3">INDEX(Szenarien!B:S, $B$1+2, 1)</f>
        <v>15</v>
      </c>
      <c r="C3" s="2">
        <f>Lösungen!B2</f>
        <v>1</v>
      </c>
      <c r="D3" s="2">
        <f>PRODUCT(B3,C3)</f>
        <v>15</v>
      </c>
      <c r="E3" s="2">
        <f>Lösungen!C2</f>
        <v>2</v>
      </c>
      <c r="F3" s="2">
        <f>PRODUCT(B3,E3)</f>
        <v>30</v>
      </c>
      <c r="G3" s="2">
        <f>Lösungen!D2</f>
        <v>3</v>
      </c>
      <c r="H3" s="2">
        <f>PRODUCT(B3,G3)</f>
        <v>45</v>
      </c>
    </row>
    <row r="4" spans="1:8" x14ac:dyDescent="0.25">
      <c r="A4" s="2" t="s">
        <v>7</v>
      </c>
      <c r="B4" s="2" cm="1">
        <f t="array" ref="B4">INDEX(Szenarien!B:S, $B$1+2, 2)</f>
        <v>10</v>
      </c>
      <c r="C4" s="2">
        <f>Lösungen!B3</f>
        <v>3</v>
      </c>
      <c r="D4" s="2">
        <f>PRODUCT(B4,C4)</f>
        <v>30</v>
      </c>
      <c r="E4" s="2">
        <f>Lösungen!C3</f>
        <v>3</v>
      </c>
      <c r="F4" s="2">
        <f>PRODUCT(B4,E4)</f>
        <v>30</v>
      </c>
      <c r="G4" s="2">
        <f>Lösungen!D3</f>
        <v>1</v>
      </c>
      <c r="H4" s="2">
        <f>PRODUCT(B4,G4)</f>
        <v>10</v>
      </c>
    </row>
    <row r="5" spans="1:8" x14ac:dyDescent="0.25">
      <c r="A5" s="2" t="s">
        <v>8</v>
      </c>
      <c r="B5" s="2" cm="1">
        <f t="array" ref="B5">INDEX(Szenarien!B:S, $B$1+2, 3)</f>
        <v>15</v>
      </c>
      <c r="C5" s="2">
        <f>Lösungen!B4</f>
        <v>1</v>
      </c>
      <c r="D5" s="2">
        <f t="shared" ref="D5:D6" si="0">PRODUCT(B5,C5)</f>
        <v>15</v>
      </c>
      <c r="E5" s="2">
        <f>Lösungen!C4</f>
        <v>3</v>
      </c>
      <c r="F5" s="2">
        <f t="shared" ref="F5:F6" si="1">PRODUCT(B5,E5)</f>
        <v>45</v>
      </c>
      <c r="G5" s="2">
        <f>Lösungen!D4</f>
        <v>2</v>
      </c>
      <c r="H5" s="2">
        <f t="shared" ref="H5:H6" si="2">PRODUCT(B5,G5)</f>
        <v>30</v>
      </c>
    </row>
    <row r="6" spans="1:8" x14ac:dyDescent="0.25">
      <c r="A6" s="2" t="s">
        <v>25</v>
      </c>
      <c r="B6" s="2" cm="1">
        <f t="array" ref="B6">INDEX(Szenarien!B:S, $B$1+2, 4)</f>
        <v>5</v>
      </c>
      <c r="C6" s="2">
        <f>Lösungen!B5</f>
        <v>3</v>
      </c>
      <c r="D6" s="2">
        <f t="shared" si="0"/>
        <v>15</v>
      </c>
      <c r="E6" s="2">
        <f>Lösungen!C5</f>
        <v>3</v>
      </c>
      <c r="F6" s="2">
        <f t="shared" si="1"/>
        <v>15</v>
      </c>
      <c r="G6" s="2">
        <f>Lösungen!D5</f>
        <v>3</v>
      </c>
      <c r="H6" s="2">
        <f t="shared" si="2"/>
        <v>15</v>
      </c>
    </row>
    <row r="7" spans="1:8" x14ac:dyDescent="0.25">
      <c r="A7" s="2" t="s">
        <v>26</v>
      </c>
      <c r="B7" s="2" cm="1">
        <f t="array" ref="B7">INDEX(Szenarien!B:S, $B$1+2, 5)</f>
        <v>0</v>
      </c>
      <c r="C7" s="2">
        <f>Lösungen!B6</f>
        <v>3</v>
      </c>
      <c r="D7" s="2">
        <f>PRODUCT(B7,C9)</f>
        <v>0</v>
      </c>
      <c r="E7" s="2">
        <f>Lösungen!C6</f>
        <v>3</v>
      </c>
      <c r="F7" s="2">
        <f>PRODUCT(B7,E9)</f>
        <v>0</v>
      </c>
      <c r="G7" s="2">
        <f>Lösungen!D6</f>
        <v>3</v>
      </c>
      <c r="H7" s="2">
        <f>PRODUCT(B7,G9)</f>
        <v>0</v>
      </c>
    </row>
    <row r="8" spans="1:8" x14ac:dyDescent="0.25">
      <c r="A8" s="2" t="s">
        <v>27</v>
      </c>
      <c r="B8" s="2" cm="1">
        <f t="array" ref="B8">INDEX(Szenarien!B:S, $B$1+2, 6)</f>
        <v>0</v>
      </c>
      <c r="C8" s="2">
        <f>Lösungen!B7</f>
        <v>3</v>
      </c>
      <c r="D8" s="2">
        <f t="shared" ref="D8:D11" si="3">PRODUCT(B8,C8)</f>
        <v>0</v>
      </c>
      <c r="E8" s="2">
        <f>Lösungen!C7</f>
        <v>3</v>
      </c>
      <c r="F8" s="2">
        <f t="shared" ref="F8:F11" si="4">PRODUCT(B8,E8)</f>
        <v>0</v>
      </c>
      <c r="G8" s="2">
        <f>Lösungen!D7</f>
        <v>3</v>
      </c>
      <c r="H8" s="2">
        <f t="shared" ref="H8:H11" si="5">PRODUCT(B8,G8)</f>
        <v>0</v>
      </c>
    </row>
    <row r="9" spans="1:8" x14ac:dyDescent="0.25">
      <c r="A9" s="2" t="s">
        <v>28</v>
      </c>
      <c r="B9" s="2" cm="1">
        <f t="array" ref="B9">INDEX(Szenarien!B:S, $B$1+2, 7)</f>
        <v>15</v>
      </c>
      <c r="C9" s="2">
        <f>Lösungen!B8</f>
        <v>3</v>
      </c>
      <c r="D9" s="2">
        <f t="shared" si="3"/>
        <v>45</v>
      </c>
      <c r="E9" s="2">
        <f>Lösungen!C8</f>
        <v>2</v>
      </c>
      <c r="F9" s="2">
        <f t="shared" si="4"/>
        <v>30</v>
      </c>
      <c r="G9" s="2">
        <f>Lösungen!D8</f>
        <v>2</v>
      </c>
      <c r="H9" s="2">
        <f t="shared" si="5"/>
        <v>30</v>
      </c>
    </row>
    <row r="10" spans="1:8" x14ac:dyDescent="0.25">
      <c r="A10" s="2" t="s">
        <v>29</v>
      </c>
      <c r="B10" s="2" cm="1">
        <f t="array" ref="B10">INDEX(Szenarien!B:S, $B$1+2, 8)</f>
        <v>0</v>
      </c>
      <c r="C10" s="2">
        <f>Lösungen!B9</f>
        <v>3</v>
      </c>
      <c r="D10" s="2">
        <f t="shared" si="3"/>
        <v>0</v>
      </c>
      <c r="E10" s="2">
        <f>Lösungen!C9</f>
        <v>3</v>
      </c>
      <c r="F10" s="2">
        <f t="shared" si="4"/>
        <v>0</v>
      </c>
      <c r="G10" s="2">
        <f>Lösungen!D9</f>
        <v>3</v>
      </c>
      <c r="H10" s="2">
        <f t="shared" si="5"/>
        <v>0</v>
      </c>
    </row>
    <row r="11" spans="1:8" x14ac:dyDescent="0.25">
      <c r="A11" s="2" t="s">
        <v>30</v>
      </c>
      <c r="B11" s="2" cm="1">
        <f t="array" ref="B11">INDEX(Szenarien!B:S, $B$1+2, 9)</f>
        <v>0</v>
      </c>
      <c r="C11" s="2">
        <f>Lösungen!B10</f>
        <v>3</v>
      </c>
      <c r="D11" s="2">
        <f t="shared" si="3"/>
        <v>0</v>
      </c>
      <c r="E11" s="2">
        <f>Lösungen!C10</f>
        <v>1</v>
      </c>
      <c r="F11" s="2">
        <f t="shared" si="4"/>
        <v>0</v>
      </c>
      <c r="G11" s="2">
        <f>Lösungen!D10</f>
        <v>1</v>
      </c>
      <c r="H11" s="2">
        <f t="shared" si="5"/>
        <v>0</v>
      </c>
    </row>
    <row r="12" spans="1:8" x14ac:dyDescent="0.25">
      <c r="A12" s="2" t="s">
        <v>10</v>
      </c>
      <c r="B12" s="2" cm="1">
        <f t="array" ref="B12">INDEX(Szenarien!B:S, $B$1+2, 10)</f>
        <v>15</v>
      </c>
      <c r="C12" s="2">
        <f>Lösungen!B11</f>
        <v>3</v>
      </c>
      <c r="D12" s="2">
        <f t="shared" ref="D12" si="6">PRODUCT(B12,C16)</f>
        <v>45</v>
      </c>
      <c r="E12" s="2">
        <f>Lösungen!C11</f>
        <v>2</v>
      </c>
      <c r="F12" s="2">
        <f t="shared" ref="F12" si="7">PRODUCT(B12,E16)</f>
        <v>45</v>
      </c>
      <c r="G12" s="2">
        <f>Lösungen!D11</f>
        <v>1</v>
      </c>
      <c r="H12" s="2">
        <f t="shared" ref="H12" si="8">PRODUCT(B12,G16)</f>
        <v>15</v>
      </c>
    </row>
    <row r="13" spans="1:8" x14ac:dyDescent="0.25">
      <c r="A13" s="2" t="s">
        <v>43</v>
      </c>
      <c r="B13" s="2" cm="1">
        <f t="array" ref="B13">INDEX(Szenarien!B:S, $B$1+2, 11)</f>
        <v>2.5</v>
      </c>
      <c r="C13" s="2">
        <f>Lösungen!B12</f>
        <v>3</v>
      </c>
      <c r="D13" s="2">
        <f t="shared" ref="D13" si="9">PRODUCT(B13,C13)</f>
        <v>7.5</v>
      </c>
      <c r="E13" s="2">
        <f>Lösungen!C12</f>
        <v>3</v>
      </c>
      <c r="F13" s="2">
        <f t="shared" ref="F13" si="10">PRODUCT(B13,E13)</f>
        <v>7.5</v>
      </c>
      <c r="G13" s="2">
        <f>Lösungen!D12</f>
        <v>2</v>
      </c>
      <c r="H13" s="2">
        <f t="shared" ref="H13" si="11">PRODUCT(B13,G13)</f>
        <v>5</v>
      </c>
    </row>
    <row r="14" spans="1:8" x14ac:dyDescent="0.25">
      <c r="A14" s="2" t="s">
        <v>39</v>
      </c>
      <c r="B14" s="2" cm="1">
        <f t="array" ref="B14">INDEX(Szenarien!B:S, $B$1+2, 12)</f>
        <v>2.5</v>
      </c>
      <c r="C14" s="2">
        <f>Lösungen!B13</f>
        <v>3</v>
      </c>
      <c r="D14" s="2">
        <f>PRODUCT(B14,C14)</f>
        <v>7.5</v>
      </c>
      <c r="E14" s="2">
        <f>Lösungen!C13</f>
        <v>1</v>
      </c>
      <c r="F14" s="2">
        <f>PRODUCT(B14,E14)</f>
        <v>2.5</v>
      </c>
      <c r="G14" s="2">
        <f>Lösungen!D13</f>
        <v>1</v>
      </c>
      <c r="H14" s="2">
        <f>PRODUCT(B14,G14)</f>
        <v>2.5</v>
      </c>
    </row>
    <row r="15" spans="1:8" x14ac:dyDescent="0.25">
      <c r="A15" s="2" t="s">
        <v>31</v>
      </c>
      <c r="B15" s="2" cm="1">
        <f t="array" ref="B15">INDEX(Szenarien!B:S, $B$1+2, 13)</f>
        <v>0</v>
      </c>
      <c r="C15" s="2">
        <f>Lösungen!B14</f>
        <v>3</v>
      </c>
      <c r="D15" s="2">
        <f>PRODUCT(B15,C15)</f>
        <v>0</v>
      </c>
      <c r="E15" s="2">
        <f>Lösungen!C14</f>
        <v>3</v>
      </c>
      <c r="F15" s="2">
        <f>PRODUCT(B15,E15)</f>
        <v>0</v>
      </c>
      <c r="G15" s="2">
        <f>Lösungen!D14</f>
        <v>3</v>
      </c>
      <c r="H15" s="2">
        <f>PRODUCT(B15,G15)</f>
        <v>0</v>
      </c>
    </row>
    <row r="16" spans="1:8" x14ac:dyDescent="0.25">
      <c r="A16" s="2" t="s">
        <v>32</v>
      </c>
      <c r="B16" s="2" cm="1">
        <f t="array" ref="B16">INDEX(Szenarien!B:S, $B$1+2, 14)</f>
        <v>0</v>
      </c>
      <c r="C16" s="2">
        <f>Lösungen!B15</f>
        <v>3</v>
      </c>
      <c r="D16" s="2">
        <f t="shared" ref="D16:D17" si="12">PRODUCT(B16,C16)</f>
        <v>0</v>
      </c>
      <c r="E16" s="2">
        <f>Lösungen!C15</f>
        <v>3</v>
      </c>
      <c r="F16" s="2">
        <f t="shared" ref="F16:F17" si="13">PRODUCT(B16,E16)</f>
        <v>0</v>
      </c>
      <c r="G16" s="2">
        <f>Lösungen!D15</f>
        <v>1</v>
      </c>
      <c r="H16" s="2">
        <f t="shared" ref="H16:H17" si="14">PRODUCT(B16,G16)</f>
        <v>0</v>
      </c>
    </row>
    <row r="17" spans="1:8" x14ac:dyDescent="0.25">
      <c r="A17" s="2" t="s">
        <v>33</v>
      </c>
      <c r="B17" s="2" cm="1">
        <f t="array" ref="B17">INDEX(Szenarien!B:S, $B$1+2, 15)</f>
        <v>0</v>
      </c>
      <c r="C17" s="2">
        <f>Lösungen!B16</f>
        <v>2</v>
      </c>
      <c r="D17" s="2">
        <f t="shared" si="12"/>
        <v>0</v>
      </c>
      <c r="E17" s="2">
        <f>Lösungen!C16</f>
        <v>3</v>
      </c>
      <c r="F17" s="2">
        <f t="shared" si="13"/>
        <v>0</v>
      </c>
      <c r="G17" s="2">
        <f>Lösungen!D16</f>
        <v>1</v>
      </c>
      <c r="H17" s="2">
        <f t="shared" si="14"/>
        <v>0</v>
      </c>
    </row>
    <row r="18" spans="1:8" x14ac:dyDescent="0.25">
      <c r="A18" s="2" t="s">
        <v>34</v>
      </c>
      <c r="B18" s="2" cm="1">
        <f t="array" ref="B18">INDEX(Szenarien!B:S, $B$1+2, 16)</f>
        <v>0</v>
      </c>
      <c r="C18" s="2">
        <f>Lösungen!B17</f>
        <v>1</v>
      </c>
      <c r="D18" s="2">
        <f>PRODUCT(B18,C20)</f>
        <v>0</v>
      </c>
      <c r="E18" s="2">
        <f>Lösungen!C17</f>
        <v>3</v>
      </c>
      <c r="F18" s="2">
        <f>PRODUCT(B18,E20)</f>
        <v>0</v>
      </c>
      <c r="G18" s="2">
        <f>Lösungen!D17</f>
        <v>1</v>
      </c>
      <c r="H18" s="2">
        <f>PRODUCT(B18,G20)</f>
        <v>0</v>
      </c>
    </row>
    <row r="19" spans="1:8" x14ac:dyDescent="0.25">
      <c r="A19" s="2" t="s">
        <v>45</v>
      </c>
      <c r="B19" s="2" cm="1">
        <f t="array" ref="B19">INDEX(Szenarien!B:S, $B$1+2, 17)</f>
        <v>15</v>
      </c>
      <c r="C19" s="2">
        <f>Lösungen!B18</f>
        <v>3</v>
      </c>
      <c r="D19" s="2">
        <f t="shared" ref="D19:D20" si="15">PRODUCT(B19,C19)</f>
        <v>45</v>
      </c>
      <c r="E19" s="2">
        <f>Lösungen!C18</f>
        <v>1</v>
      </c>
      <c r="F19" s="2">
        <f t="shared" ref="F19:F20" si="16">PRODUCT(B19,E19)</f>
        <v>15</v>
      </c>
      <c r="G19" s="2">
        <f>Lösungen!D18</f>
        <v>2</v>
      </c>
      <c r="H19" s="2">
        <f t="shared" ref="H19:H20" si="17">PRODUCT(B19,G19)</f>
        <v>30</v>
      </c>
    </row>
    <row r="20" spans="1:8" x14ac:dyDescent="0.25">
      <c r="A20" s="2" t="s">
        <v>6</v>
      </c>
      <c r="B20" s="2" cm="1">
        <f t="array" ref="B20">INDEX(Szenarien!B:S, $B$1+2, 18)</f>
        <v>5</v>
      </c>
      <c r="C20" s="2">
        <f>Lösungen!B19</f>
        <v>3</v>
      </c>
      <c r="D20" s="2">
        <f t="shared" si="15"/>
        <v>15</v>
      </c>
      <c r="E20" s="2">
        <f>Lösungen!C19</f>
        <v>1</v>
      </c>
      <c r="F20" s="2">
        <f t="shared" si="16"/>
        <v>5</v>
      </c>
      <c r="G20" s="2">
        <f>Lösungen!D19</f>
        <v>2</v>
      </c>
      <c r="H20" s="2">
        <f t="shared" si="17"/>
        <v>10</v>
      </c>
    </row>
    <row r="21" spans="1:8" x14ac:dyDescent="0.25">
      <c r="A21" s="5" t="s">
        <v>13</v>
      </c>
      <c r="B21" s="5">
        <f>SUM(B3:B20)</f>
        <v>100</v>
      </c>
      <c r="C21" s="5"/>
      <c r="D21" s="5">
        <f>SUM(D3:D20)</f>
        <v>240</v>
      </c>
      <c r="E21" s="5"/>
      <c r="F21" s="5">
        <f>SUM(F3:F20)</f>
        <v>225</v>
      </c>
      <c r="G21" s="5"/>
      <c r="H21" s="5">
        <f t="shared" ref="H21" si="18">SUM(H3:H20)</f>
        <v>192.5</v>
      </c>
    </row>
    <row r="22" spans="1:8" x14ac:dyDescent="0.25">
      <c r="A22" s="5" t="s">
        <v>49</v>
      </c>
      <c r="B22" s="5"/>
      <c r="C22" s="5"/>
      <c r="D22" s="5">
        <v>77.5</v>
      </c>
      <c r="E22" s="5"/>
      <c r="F22" s="5">
        <v>67.5</v>
      </c>
      <c r="G22" s="5"/>
      <c r="H22" s="5">
        <v>35</v>
      </c>
    </row>
    <row r="23" spans="1:8" x14ac:dyDescent="0.25">
      <c r="A23" s="5" t="s">
        <v>14</v>
      </c>
      <c r="B23" s="5"/>
      <c r="C23" s="5"/>
      <c r="D23" s="5">
        <f>1+(F21&gt;D21)+(H21&gt;D21)</f>
        <v>1</v>
      </c>
      <c r="E23" s="5"/>
      <c r="F23" s="5">
        <f>1+(D21&gt;F21)+(H21&gt;F21)</f>
        <v>2</v>
      </c>
      <c r="G23" s="5"/>
      <c r="H23" s="5">
        <f>1+(D21&gt;H21)+(F21&gt;H21)</f>
        <v>3</v>
      </c>
    </row>
    <row r="24" spans="1:8" x14ac:dyDescent="0.25">
      <c r="A24" s="1"/>
      <c r="B24" s="1"/>
      <c r="C24" s="1"/>
      <c r="D24" s="1"/>
      <c r="E24" s="1"/>
      <c r="F24" s="1"/>
      <c r="G24" s="1"/>
      <c r="H24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50BF-DD6E-401A-AE7D-5D4980D03E6C}">
  <dimension ref="A1:H24"/>
  <sheetViews>
    <sheetView zoomScale="160" zoomScaleNormal="160" workbookViewId="0">
      <selection activeCell="C26" sqref="C26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18</v>
      </c>
      <c r="B1" s="4">
        <v>3</v>
      </c>
      <c r="C1" s="13" t="s">
        <v>46</v>
      </c>
      <c r="D1" s="13"/>
      <c r="E1" s="13" t="s">
        <v>12</v>
      </c>
      <c r="F1" s="13"/>
      <c r="G1" s="13" t="s">
        <v>17</v>
      </c>
      <c r="H1" s="13"/>
    </row>
    <row r="2" spans="1:8" x14ac:dyDescent="0.25">
      <c r="A2" s="4" t="s">
        <v>9</v>
      </c>
      <c r="B2" s="4" t="s">
        <v>11</v>
      </c>
      <c r="C2" s="4" t="s">
        <v>48</v>
      </c>
      <c r="D2" s="4" t="s">
        <v>47</v>
      </c>
      <c r="E2" s="4" t="s">
        <v>48</v>
      </c>
      <c r="F2" s="4" t="s">
        <v>47</v>
      </c>
      <c r="G2" s="4" t="s">
        <v>48</v>
      </c>
      <c r="H2" s="4" t="s">
        <v>47</v>
      </c>
    </row>
    <row r="3" spans="1:8" x14ac:dyDescent="0.25">
      <c r="A3" s="2" t="s">
        <v>1</v>
      </c>
      <c r="B3" s="2" cm="1">
        <f t="array" ref="B3">INDEX(Szenarien!B:S, $B$1+2, 1)</f>
        <v>15</v>
      </c>
      <c r="C3" s="2">
        <f>Lösungen!B2</f>
        <v>1</v>
      </c>
      <c r="D3" s="2">
        <f>PRODUCT(B3,C3)</f>
        <v>15</v>
      </c>
      <c r="E3" s="2">
        <f>Lösungen!C2</f>
        <v>2</v>
      </c>
      <c r="F3" s="2">
        <f>PRODUCT(B3,E3)</f>
        <v>30</v>
      </c>
      <c r="G3" s="2">
        <f>Lösungen!D2</f>
        <v>3</v>
      </c>
      <c r="H3" s="2">
        <f>PRODUCT(B3,G3)</f>
        <v>45</v>
      </c>
    </row>
    <row r="4" spans="1:8" x14ac:dyDescent="0.25">
      <c r="A4" s="2" t="s">
        <v>7</v>
      </c>
      <c r="B4" s="2" cm="1">
        <f t="array" ref="B4">INDEX(Szenarien!B:S, $B$1+2, 2)</f>
        <v>10</v>
      </c>
      <c r="C4" s="2">
        <f>Lösungen!B3</f>
        <v>3</v>
      </c>
      <c r="D4" s="2">
        <f>PRODUCT(B4,C4)</f>
        <v>30</v>
      </c>
      <c r="E4" s="2">
        <f>Lösungen!C3</f>
        <v>3</v>
      </c>
      <c r="F4" s="2">
        <f>PRODUCT(B4,E4)</f>
        <v>30</v>
      </c>
      <c r="G4" s="2">
        <f>Lösungen!D3</f>
        <v>1</v>
      </c>
      <c r="H4" s="2">
        <f>PRODUCT(B4,G4)</f>
        <v>10</v>
      </c>
    </row>
    <row r="5" spans="1:8" x14ac:dyDescent="0.25">
      <c r="A5" s="2" t="s">
        <v>8</v>
      </c>
      <c r="B5" s="2" cm="1">
        <f t="array" ref="B5">INDEX(Szenarien!B:S, $B$1+2, 3)</f>
        <v>15</v>
      </c>
      <c r="C5" s="2">
        <f>Lösungen!B4</f>
        <v>1</v>
      </c>
      <c r="D5" s="2">
        <f t="shared" ref="D5:D6" si="0">PRODUCT(B5,C5)</f>
        <v>15</v>
      </c>
      <c r="E5" s="2">
        <f>Lösungen!C4</f>
        <v>3</v>
      </c>
      <c r="F5" s="2">
        <f t="shared" ref="F5:F6" si="1">PRODUCT(B5,E5)</f>
        <v>45</v>
      </c>
      <c r="G5" s="2">
        <f>Lösungen!D4</f>
        <v>2</v>
      </c>
      <c r="H5" s="2">
        <f t="shared" ref="H5:H6" si="2">PRODUCT(B5,G5)</f>
        <v>30</v>
      </c>
    </row>
    <row r="6" spans="1:8" x14ac:dyDescent="0.25">
      <c r="A6" s="2" t="s">
        <v>25</v>
      </c>
      <c r="B6" s="2" cm="1">
        <f t="array" ref="B6">INDEX(Szenarien!B:S, $B$1+2, 4)</f>
        <v>5</v>
      </c>
      <c r="C6" s="2">
        <f>Lösungen!B5</f>
        <v>3</v>
      </c>
      <c r="D6" s="2">
        <f t="shared" si="0"/>
        <v>15</v>
      </c>
      <c r="E6" s="2">
        <f>Lösungen!C5</f>
        <v>3</v>
      </c>
      <c r="F6" s="2">
        <f t="shared" si="1"/>
        <v>15</v>
      </c>
      <c r="G6" s="2">
        <f>Lösungen!D5</f>
        <v>3</v>
      </c>
      <c r="H6" s="2">
        <f t="shared" si="2"/>
        <v>15</v>
      </c>
    </row>
    <row r="7" spans="1:8" x14ac:dyDescent="0.25">
      <c r="A7" s="2" t="s">
        <v>26</v>
      </c>
      <c r="B7" s="2" cm="1">
        <f t="array" ref="B7">INDEX(Szenarien!B:S, $B$1+2, 5)</f>
        <v>0</v>
      </c>
      <c r="C7" s="2">
        <f>Lösungen!B6</f>
        <v>3</v>
      </c>
      <c r="D7" s="2">
        <f>PRODUCT(B7,C9)</f>
        <v>0</v>
      </c>
      <c r="E7" s="2">
        <f>Lösungen!C6</f>
        <v>3</v>
      </c>
      <c r="F7" s="2">
        <f>PRODUCT(B7,E9)</f>
        <v>0</v>
      </c>
      <c r="G7" s="2">
        <f>Lösungen!D6</f>
        <v>3</v>
      </c>
      <c r="H7" s="2">
        <f>PRODUCT(B7,G9)</f>
        <v>0</v>
      </c>
    </row>
    <row r="8" spans="1:8" x14ac:dyDescent="0.25">
      <c r="A8" s="2" t="s">
        <v>27</v>
      </c>
      <c r="B8" s="2" cm="1">
        <f t="array" ref="B8">INDEX(Szenarien!B:S, $B$1+2, 6)</f>
        <v>0</v>
      </c>
      <c r="C8" s="2">
        <f>Lösungen!B7</f>
        <v>3</v>
      </c>
      <c r="D8" s="2">
        <f t="shared" ref="D8:D11" si="3">PRODUCT(B8,C8)</f>
        <v>0</v>
      </c>
      <c r="E8" s="2">
        <f>Lösungen!C7</f>
        <v>3</v>
      </c>
      <c r="F8" s="2">
        <f t="shared" ref="F8:F11" si="4">PRODUCT(B8,E8)</f>
        <v>0</v>
      </c>
      <c r="G8" s="2">
        <f>Lösungen!D7</f>
        <v>3</v>
      </c>
      <c r="H8" s="2">
        <f t="shared" ref="H8:H11" si="5">PRODUCT(B8,G8)</f>
        <v>0</v>
      </c>
    </row>
    <row r="9" spans="1:8" x14ac:dyDescent="0.25">
      <c r="A9" s="2" t="s">
        <v>28</v>
      </c>
      <c r="B9" s="2" cm="1">
        <f t="array" ref="B9">INDEX(Szenarien!B:S, $B$1+2, 7)</f>
        <v>5</v>
      </c>
      <c r="C9" s="2">
        <f>Lösungen!B8</f>
        <v>3</v>
      </c>
      <c r="D9" s="2">
        <f t="shared" si="3"/>
        <v>15</v>
      </c>
      <c r="E9" s="2">
        <f>Lösungen!C8</f>
        <v>2</v>
      </c>
      <c r="F9" s="2">
        <f t="shared" si="4"/>
        <v>10</v>
      </c>
      <c r="G9" s="2">
        <f>Lösungen!D8</f>
        <v>2</v>
      </c>
      <c r="H9" s="2">
        <f t="shared" si="5"/>
        <v>10</v>
      </c>
    </row>
    <row r="10" spans="1:8" x14ac:dyDescent="0.25">
      <c r="A10" s="2" t="s">
        <v>29</v>
      </c>
      <c r="B10" s="2" cm="1">
        <f t="array" ref="B10">INDEX(Szenarien!B:S, $B$1+2, 8)</f>
        <v>0</v>
      </c>
      <c r="C10" s="2">
        <f>Lösungen!B9</f>
        <v>3</v>
      </c>
      <c r="D10" s="2">
        <f t="shared" si="3"/>
        <v>0</v>
      </c>
      <c r="E10" s="2">
        <f>Lösungen!C9</f>
        <v>3</v>
      </c>
      <c r="F10" s="2">
        <f t="shared" si="4"/>
        <v>0</v>
      </c>
      <c r="G10" s="2">
        <f>Lösungen!D9</f>
        <v>3</v>
      </c>
      <c r="H10" s="2">
        <f t="shared" si="5"/>
        <v>0</v>
      </c>
    </row>
    <row r="11" spans="1:8" x14ac:dyDescent="0.25">
      <c r="A11" s="2" t="s">
        <v>30</v>
      </c>
      <c r="B11" s="2" cm="1">
        <f t="array" ref="B11">INDEX(Szenarien!B:S, $B$1+2, 9)</f>
        <v>0</v>
      </c>
      <c r="C11" s="2">
        <f>Lösungen!B10</f>
        <v>3</v>
      </c>
      <c r="D11" s="2">
        <f t="shared" si="3"/>
        <v>0</v>
      </c>
      <c r="E11" s="2">
        <f>Lösungen!C10</f>
        <v>1</v>
      </c>
      <c r="F11" s="2">
        <f t="shared" si="4"/>
        <v>0</v>
      </c>
      <c r="G11" s="2">
        <f>Lösungen!D10</f>
        <v>1</v>
      </c>
      <c r="H11" s="2">
        <f t="shared" si="5"/>
        <v>0</v>
      </c>
    </row>
    <row r="12" spans="1:8" x14ac:dyDescent="0.25">
      <c r="A12" s="2" t="s">
        <v>10</v>
      </c>
      <c r="B12" s="2" cm="1">
        <f t="array" ref="B12">INDEX(Szenarien!B:S, $B$1+2, 10)</f>
        <v>0</v>
      </c>
      <c r="C12" s="2">
        <f>Lösungen!B11</f>
        <v>3</v>
      </c>
      <c r="D12" s="2">
        <f t="shared" ref="D12" si="6">PRODUCT(B12,C16)</f>
        <v>0</v>
      </c>
      <c r="E12" s="2">
        <f>Lösungen!C11</f>
        <v>2</v>
      </c>
      <c r="F12" s="2">
        <f t="shared" ref="F12" si="7">PRODUCT(B12,E16)</f>
        <v>0</v>
      </c>
      <c r="G12" s="2">
        <f>Lösungen!D11</f>
        <v>1</v>
      </c>
      <c r="H12" s="2">
        <f t="shared" ref="H12" si="8">PRODUCT(B12,G16)</f>
        <v>0</v>
      </c>
    </row>
    <row r="13" spans="1:8" x14ac:dyDescent="0.25">
      <c r="A13" s="2" t="s">
        <v>43</v>
      </c>
      <c r="B13" s="2" cm="1">
        <f t="array" ref="B13">INDEX(Szenarien!B:S, $B$1+2, 11)</f>
        <v>5</v>
      </c>
      <c r="C13" s="2">
        <f>Lösungen!B12</f>
        <v>3</v>
      </c>
      <c r="D13" s="2">
        <f t="shared" ref="D13" si="9">PRODUCT(B13,C13)</f>
        <v>15</v>
      </c>
      <c r="E13" s="2">
        <f>Lösungen!C12</f>
        <v>3</v>
      </c>
      <c r="F13" s="2">
        <f t="shared" ref="F13" si="10">PRODUCT(B13,E13)</f>
        <v>15</v>
      </c>
      <c r="G13" s="2">
        <f>Lösungen!D12</f>
        <v>2</v>
      </c>
      <c r="H13" s="2">
        <f t="shared" ref="H13" si="11">PRODUCT(B13,G13)</f>
        <v>10</v>
      </c>
    </row>
    <row r="14" spans="1:8" x14ac:dyDescent="0.25">
      <c r="A14" s="2" t="s">
        <v>39</v>
      </c>
      <c r="B14" s="2" cm="1">
        <f t="array" ref="B14">INDEX(Szenarien!B:S, $B$1+2, 12)</f>
        <v>10</v>
      </c>
      <c r="C14" s="2">
        <f>Lösungen!B13</f>
        <v>3</v>
      </c>
      <c r="D14" s="2">
        <f>PRODUCT(B14,C14)</f>
        <v>30</v>
      </c>
      <c r="E14" s="2">
        <f>Lösungen!C13</f>
        <v>1</v>
      </c>
      <c r="F14" s="2">
        <f>PRODUCT(B14,E14)</f>
        <v>10</v>
      </c>
      <c r="G14" s="2">
        <f>Lösungen!D13</f>
        <v>1</v>
      </c>
      <c r="H14" s="2">
        <f>PRODUCT(B14,G14)</f>
        <v>10</v>
      </c>
    </row>
    <row r="15" spans="1:8" x14ac:dyDescent="0.25">
      <c r="A15" s="2" t="s">
        <v>31</v>
      </c>
      <c r="B15" s="2" cm="1">
        <f t="array" ref="B15">INDEX(Szenarien!B:S, $B$1+2, 13)</f>
        <v>0</v>
      </c>
      <c r="C15" s="2">
        <f>Lösungen!B14</f>
        <v>3</v>
      </c>
      <c r="D15" s="2">
        <f>PRODUCT(B15,C15)</f>
        <v>0</v>
      </c>
      <c r="E15" s="2">
        <f>Lösungen!C14</f>
        <v>3</v>
      </c>
      <c r="F15" s="2">
        <f>PRODUCT(B15,E15)</f>
        <v>0</v>
      </c>
      <c r="G15" s="2">
        <f>Lösungen!D14</f>
        <v>3</v>
      </c>
      <c r="H15" s="2">
        <f>PRODUCT(B15,G15)</f>
        <v>0</v>
      </c>
    </row>
    <row r="16" spans="1:8" x14ac:dyDescent="0.25">
      <c r="A16" s="2" t="s">
        <v>32</v>
      </c>
      <c r="B16" s="2" cm="1">
        <f t="array" ref="B16">INDEX(Szenarien!B:S, $B$1+2, 14)</f>
        <v>0</v>
      </c>
      <c r="C16" s="2">
        <f>Lösungen!B15</f>
        <v>3</v>
      </c>
      <c r="D16" s="2">
        <f t="shared" ref="D16:D17" si="12">PRODUCT(B16,C16)</f>
        <v>0</v>
      </c>
      <c r="E16" s="2">
        <f>Lösungen!C15</f>
        <v>3</v>
      </c>
      <c r="F16" s="2">
        <f t="shared" ref="F16:F17" si="13">PRODUCT(B16,E16)</f>
        <v>0</v>
      </c>
      <c r="G16" s="2">
        <f>Lösungen!D15</f>
        <v>1</v>
      </c>
      <c r="H16" s="2">
        <f t="shared" ref="H16:H17" si="14">PRODUCT(B16,G16)</f>
        <v>0</v>
      </c>
    </row>
    <row r="17" spans="1:8" x14ac:dyDescent="0.25">
      <c r="A17" s="2" t="s">
        <v>33</v>
      </c>
      <c r="B17" s="2" cm="1">
        <f t="array" ref="B17">INDEX(Szenarien!B:S, $B$1+2, 15)</f>
        <v>10</v>
      </c>
      <c r="C17" s="2">
        <f>Lösungen!B16</f>
        <v>2</v>
      </c>
      <c r="D17" s="2">
        <f t="shared" si="12"/>
        <v>20</v>
      </c>
      <c r="E17" s="2">
        <f>Lösungen!C16</f>
        <v>3</v>
      </c>
      <c r="F17" s="2">
        <f t="shared" si="13"/>
        <v>30</v>
      </c>
      <c r="G17" s="2">
        <f>Lösungen!D16</f>
        <v>1</v>
      </c>
      <c r="H17" s="2">
        <f t="shared" si="14"/>
        <v>10</v>
      </c>
    </row>
    <row r="18" spans="1:8" x14ac:dyDescent="0.25">
      <c r="A18" s="2" t="s">
        <v>34</v>
      </c>
      <c r="B18" s="2" cm="1">
        <f t="array" ref="B18">INDEX(Szenarien!B:S, $B$1+2, 16)</f>
        <v>5</v>
      </c>
      <c r="C18" s="2">
        <f>Lösungen!B17</f>
        <v>1</v>
      </c>
      <c r="D18" s="2">
        <f>PRODUCT(B18,C20)</f>
        <v>15</v>
      </c>
      <c r="E18" s="2">
        <f>Lösungen!C17</f>
        <v>3</v>
      </c>
      <c r="F18" s="2">
        <f>PRODUCT(B18,E20)</f>
        <v>5</v>
      </c>
      <c r="G18" s="2">
        <f>Lösungen!D17</f>
        <v>1</v>
      </c>
      <c r="H18" s="2">
        <f>PRODUCT(B18,G20)</f>
        <v>10</v>
      </c>
    </row>
    <row r="19" spans="1:8" x14ac:dyDescent="0.25">
      <c r="A19" s="2" t="s">
        <v>45</v>
      </c>
      <c r="B19" s="2" cm="1">
        <f t="array" ref="B19">INDEX(Szenarien!B:S, $B$1+2, 17)</f>
        <v>15</v>
      </c>
      <c r="C19" s="2">
        <f>Lösungen!B18</f>
        <v>3</v>
      </c>
      <c r="D19" s="2">
        <f t="shared" ref="D19:D20" si="15">PRODUCT(B19,C19)</f>
        <v>45</v>
      </c>
      <c r="E19" s="2">
        <f>Lösungen!C18</f>
        <v>1</v>
      </c>
      <c r="F19" s="2">
        <f t="shared" ref="F19:F20" si="16">PRODUCT(B19,E19)</f>
        <v>15</v>
      </c>
      <c r="G19" s="2">
        <f>Lösungen!D18</f>
        <v>2</v>
      </c>
      <c r="H19" s="2">
        <f t="shared" ref="H19:H20" si="17">PRODUCT(B19,G19)</f>
        <v>30</v>
      </c>
    </row>
    <row r="20" spans="1:8" x14ac:dyDescent="0.25">
      <c r="A20" s="2" t="s">
        <v>6</v>
      </c>
      <c r="B20" s="2" cm="1">
        <f t="array" ref="B20">INDEX(Szenarien!B:S, $B$1+2, 18)</f>
        <v>5</v>
      </c>
      <c r="C20" s="2">
        <f>Lösungen!B19</f>
        <v>3</v>
      </c>
      <c r="D20" s="2">
        <f t="shared" si="15"/>
        <v>15</v>
      </c>
      <c r="E20" s="2">
        <f>Lösungen!C19</f>
        <v>1</v>
      </c>
      <c r="F20" s="2">
        <f t="shared" si="16"/>
        <v>5</v>
      </c>
      <c r="G20" s="2">
        <f>Lösungen!D19</f>
        <v>2</v>
      </c>
      <c r="H20" s="2">
        <f t="shared" si="17"/>
        <v>10</v>
      </c>
    </row>
    <row r="21" spans="1:8" x14ac:dyDescent="0.25">
      <c r="A21" s="5" t="s">
        <v>13</v>
      </c>
      <c r="B21" s="5">
        <f>SUM(B3:B20)</f>
        <v>100</v>
      </c>
      <c r="C21" s="5"/>
      <c r="D21" s="5">
        <f>SUM(D3:D20)</f>
        <v>230</v>
      </c>
      <c r="E21" s="5"/>
      <c r="F21" s="5">
        <f>SUM(F3:F20)</f>
        <v>210</v>
      </c>
      <c r="G21" s="5"/>
      <c r="H21" s="5">
        <f t="shared" ref="H21" si="18">SUM(H3:H20)</f>
        <v>190</v>
      </c>
    </row>
    <row r="22" spans="1:8" x14ac:dyDescent="0.25">
      <c r="A22" s="5" t="s">
        <v>49</v>
      </c>
      <c r="B22" s="5"/>
      <c r="C22" s="5"/>
      <c r="D22" s="5">
        <v>77.5</v>
      </c>
      <c r="E22" s="5"/>
      <c r="F22" s="5">
        <v>67.5</v>
      </c>
      <c r="G22" s="5"/>
      <c r="H22" s="5">
        <v>35</v>
      </c>
    </row>
    <row r="23" spans="1:8" x14ac:dyDescent="0.25">
      <c r="A23" s="5" t="s">
        <v>14</v>
      </c>
      <c r="B23" s="5"/>
      <c r="C23" s="5"/>
      <c r="D23" s="5">
        <f>1+(F21&gt;D21)+(H21&gt;D21)</f>
        <v>1</v>
      </c>
      <c r="E23" s="5"/>
      <c r="F23" s="5">
        <f>1+(D21&gt;F21)+(H21&gt;F21)</f>
        <v>2</v>
      </c>
      <c r="G23" s="5"/>
      <c r="H23" s="5">
        <f>1+(D21&gt;H21)+(F21&gt;H21)</f>
        <v>3</v>
      </c>
    </row>
    <row r="24" spans="1:8" x14ac:dyDescent="0.25">
      <c r="A24" s="1"/>
      <c r="B24" s="1"/>
      <c r="C24" s="1"/>
      <c r="D24" s="1"/>
      <c r="E24" s="1"/>
      <c r="F24" s="1"/>
      <c r="G24" s="1"/>
      <c r="H24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271C-980D-4B4E-93D2-A24342D5CE41}">
  <dimension ref="A1:H24"/>
  <sheetViews>
    <sheetView zoomScale="160" zoomScaleNormal="160" workbookViewId="0">
      <selection activeCell="B28" sqref="B28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18</v>
      </c>
      <c r="B1" s="4">
        <v>4</v>
      </c>
      <c r="C1" s="13" t="s">
        <v>46</v>
      </c>
      <c r="D1" s="13"/>
      <c r="E1" s="13" t="s">
        <v>12</v>
      </c>
      <c r="F1" s="13"/>
      <c r="G1" s="13" t="s">
        <v>17</v>
      </c>
      <c r="H1" s="13"/>
    </row>
    <row r="2" spans="1:8" x14ac:dyDescent="0.25">
      <c r="A2" s="4" t="s">
        <v>9</v>
      </c>
      <c r="B2" s="4" t="s">
        <v>11</v>
      </c>
      <c r="C2" s="4" t="s">
        <v>48</v>
      </c>
      <c r="D2" s="4" t="s">
        <v>47</v>
      </c>
      <c r="E2" s="4" t="s">
        <v>48</v>
      </c>
      <c r="F2" s="4" t="s">
        <v>47</v>
      </c>
      <c r="G2" s="4" t="s">
        <v>48</v>
      </c>
      <c r="H2" s="4" t="s">
        <v>47</v>
      </c>
    </row>
    <row r="3" spans="1:8" x14ac:dyDescent="0.25">
      <c r="A3" s="2" t="s">
        <v>1</v>
      </c>
      <c r="B3" s="2" cm="1">
        <f t="array" ref="B3">INDEX(Szenarien!B:S, $B$1+2, 1)</f>
        <v>10</v>
      </c>
      <c r="C3" s="2">
        <f>Lösungen!B2</f>
        <v>1</v>
      </c>
      <c r="D3" s="2">
        <f>PRODUCT(B3,C3)</f>
        <v>10</v>
      </c>
      <c r="E3" s="2">
        <f>Lösungen!C2</f>
        <v>2</v>
      </c>
      <c r="F3" s="2">
        <f>PRODUCT(B3,E3)</f>
        <v>20</v>
      </c>
      <c r="G3" s="2">
        <f>Lösungen!D2</f>
        <v>3</v>
      </c>
      <c r="H3" s="2">
        <f>PRODUCT(B3,G3)</f>
        <v>30</v>
      </c>
    </row>
    <row r="4" spans="1:8" x14ac:dyDescent="0.25">
      <c r="A4" s="2" t="s">
        <v>7</v>
      </c>
      <c r="B4" s="2" cm="1">
        <f t="array" ref="B4">INDEX(Szenarien!B:S, $B$1+2, 2)</f>
        <v>10</v>
      </c>
      <c r="C4" s="2">
        <f>Lösungen!B3</f>
        <v>3</v>
      </c>
      <c r="D4" s="2">
        <f>PRODUCT(B4,C4)</f>
        <v>30</v>
      </c>
      <c r="E4" s="2">
        <f>Lösungen!C3</f>
        <v>3</v>
      </c>
      <c r="F4" s="2">
        <f>PRODUCT(B4,E4)</f>
        <v>30</v>
      </c>
      <c r="G4" s="2">
        <f>Lösungen!D3</f>
        <v>1</v>
      </c>
      <c r="H4" s="2">
        <f>PRODUCT(B4,G4)</f>
        <v>10</v>
      </c>
    </row>
    <row r="5" spans="1:8" x14ac:dyDescent="0.25">
      <c r="A5" s="2" t="s">
        <v>8</v>
      </c>
      <c r="B5" s="2" cm="1">
        <f t="array" ref="B5">INDEX(Szenarien!B:S, $B$1+2, 3)</f>
        <v>10</v>
      </c>
      <c r="C5" s="2">
        <f>Lösungen!B4</f>
        <v>1</v>
      </c>
      <c r="D5" s="2">
        <f t="shared" ref="D5:D6" si="0">PRODUCT(B5,C5)</f>
        <v>10</v>
      </c>
      <c r="E5" s="2">
        <f>Lösungen!C4</f>
        <v>3</v>
      </c>
      <c r="F5" s="2">
        <f t="shared" ref="F5:F6" si="1">PRODUCT(B5,E5)</f>
        <v>30</v>
      </c>
      <c r="G5" s="2">
        <f>Lösungen!D4</f>
        <v>2</v>
      </c>
      <c r="H5" s="2">
        <f t="shared" ref="H5:H6" si="2">PRODUCT(B5,G5)</f>
        <v>20</v>
      </c>
    </row>
    <row r="6" spans="1:8" x14ac:dyDescent="0.25">
      <c r="A6" s="2" t="s">
        <v>25</v>
      </c>
      <c r="B6" s="2" cm="1">
        <f t="array" ref="B6">INDEX(Szenarien!B:S, $B$1+2, 4)</f>
        <v>5</v>
      </c>
      <c r="C6" s="2">
        <f>Lösungen!B5</f>
        <v>3</v>
      </c>
      <c r="D6" s="2">
        <f t="shared" si="0"/>
        <v>15</v>
      </c>
      <c r="E6" s="2">
        <f>Lösungen!C5</f>
        <v>3</v>
      </c>
      <c r="F6" s="2">
        <f t="shared" si="1"/>
        <v>15</v>
      </c>
      <c r="G6" s="2">
        <f>Lösungen!D5</f>
        <v>3</v>
      </c>
      <c r="H6" s="2">
        <f t="shared" si="2"/>
        <v>15</v>
      </c>
    </row>
    <row r="7" spans="1:8" x14ac:dyDescent="0.25">
      <c r="A7" s="2" t="s">
        <v>26</v>
      </c>
      <c r="B7" s="2" cm="1">
        <f t="array" ref="B7">INDEX(Szenarien!B:S, $B$1+2, 5)</f>
        <v>0</v>
      </c>
      <c r="C7" s="2">
        <f>Lösungen!B6</f>
        <v>3</v>
      </c>
      <c r="D7" s="2">
        <f>PRODUCT(B7,C9)</f>
        <v>0</v>
      </c>
      <c r="E7" s="2">
        <f>Lösungen!C6</f>
        <v>3</v>
      </c>
      <c r="F7" s="2">
        <f>PRODUCT(B7,E9)</f>
        <v>0</v>
      </c>
      <c r="G7" s="2">
        <f>Lösungen!D6</f>
        <v>3</v>
      </c>
      <c r="H7" s="2">
        <f>PRODUCT(B7,G9)</f>
        <v>0</v>
      </c>
    </row>
    <row r="8" spans="1:8" x14ac:dyDescent="0.25">
      <c r="A8" s="2" t="s">
        <v>27</v>
      </c>
      <c r="B8" s="2" cm="1">
        <f t="array" ref="B8">INDEX(Szenarien!B:S, $B$1+2, 6)</f>
        <v>5</v>
      </c>
      <c r="C8" s="2">
        <f>Lösungen!B7</f>
        <v>3</v>
      </c>
      <c r="D8" s="2">
        <f t="shared" ref="D8:D11" si="3">PRODUCT(B8,C8)</f>
        <v>15</v>
      </c>
      <c r="E8" s="2">
        <f>Lösungen!C7</f>
        <v>3</v>
      </c>
      <c r="F8" s="2">
        <f t="shared" ref="F8:F11" si="4">PRODUCT(B8,E8)</f>
        <v>15</v>
      </c>
      <c r="G8" s="2">
        <f>Lösungen!D7</f>
        <v>3</v>
      </c>
      <c r="H8" s="2">
        <f t="shared" ref="H8:H11" si="5">PRODUCT(B8,G8)</f>
        <v>15</v>
      </c>
    </row>
    <row r="9" spans="1:8" x14ac:dyDescent="0.25">
      <c r="A9" s="2" t="s">
        <v>28</v>
      </c>
      <c r="B9" s="2" cm="1">
        <f t="array" ref="B9">INDEX(Szenarien!B:S, $B$1+2, 7)</f>
        <v>5</v>
      </c>
      <c r="C9" s="2">
        <f>Lösungen!B8</f>
        <v>3</v>
      </c>
      <c r="D9" s="2">
        <f t="shared" si="3"/>
        <v>15</v>
      </c>
      <c r="E9" s="2">
        <f>Lösungen!C8</f>
        <v>2</v>
      </c>
      <c r="F9" s="2">
        <f t="shared" si="4"/>
        <v>10</v>
      </c>
      <c r="G9" s="2">
        <f>Lösungen!D8</f>
        <v>2</v>
      </c>
      <c r="H9" s="2">
        <f t="shared" si="5"/>
        <v>10</v>
      </c>
    </row>
    <row r="10" spans="1:8" x14ac:dyDescent="0.25">
      <c r="A10" s="2" t="s">
        <v>29</v>
      </c>
      <c r="B10" s="2" cm="1">
        <f t="array" ref="B10">INDEX(Szenarien!B:S, $B$1+2, 8)</f>
        <v>10</v>
      </c>
      <c r="C10" s="2">
        <f>Lösungen!B9</f>
        <v>3</v>
      </c>
      <c r="D10" s="2">
        <f t="shared" si="3"/>
        <v>30</v>
      </c>
      <c r="E10" s="2">
        <f>Lösungen!C9</f>
        <v>3</v>
      </c>
      <c r="F10" s="2">
        <f t="shared" si="4"/>
        <v>30</v>
      </c>
      <c r="G10" s="2">
        <f>Lösungen!D9</f>
        <v>3</v>
      </c>
      <c r="H10" s="2">
        <f t="shared" si="5"/>
        <v>30</v>
      </c>
    </row>
    <row r="11" spans="1:8" x14ac:dyDescent="0.25">
      <c r="A11" s="2" t="s">
        <v>30</v>
      </c>
      <c r="B11" s="2" cm="1">
        <f t="array" ref="B11">INDEX(Szenarien!B:S, $B$1+2, 9)</f>
        <v>0</v>
      </c>
      <c r="C11" s="2">
        <f>Lösungen!B10</f>
        <v>3</v>
      </c>
      <c r="D11" s="2">
        <f t="shared" si="3"/>
        <v>0</v>
      </c>
      <c r="E11" s="2">
        <f>Lösungen!C10</f>
        <v>1</v>
      </c>
      <c r="F11" s="2">
        <f t="shared" si="4"/>
        <v>0</v>
      </c>
      <c r="G11" s="2">
        <f>Lösungen!D10</f>
        <v>1</v>
      </c>
      <c r="H11" s="2">
        <f t="shared" si="5"/>
        <v>0</v>
      </c>
    </row>
    <row r="12" spans="1:8" x14ac:dyDescent="0.25">
      <c r="A12" s="2" t="s">
        <v>10</v>
      </c>
      <c r="B12" s="2" cm="1">
        <f t="array" ref="B12">INDEX(Szenarien!B:S, $B$1+2, 10)</f>
        <v>0</v>
      </c>
      <c r="C12" s="2">
        <f>Lösungen!B11</f>
        <v>3</v>
      </c>
      <c r="D12" s="2">
        <f t="shared" ref="D12" si="6">PRODUCT(B12,C16)</f>
        <v>0</v>
      </c>
      <c r="E12" s="2">
        <f>Lösungen!C11</f>
        <v>2</v>
      </c>
      <c r="F12" s="2">
        <f t="shared" ref="F12" si="7">PRODUCT(B12,E16)</f>
        <v>0</v>
      </c>
      <c r="G12" s="2">
        <f>Lösungen!D11</f>
        <v>1</v>
      </c>
      <c r="H12" s="2">
        <f t="shared" ref="H12" si="8">PRODUCT(B12,G16)</f>
        <v>0</v>
      </c>
    </row>
    <row r="13" spans="1:8" x14ac:dyDescent="0.25">
      <c r="A13" s="2" t="s">
        <v>43</v>
      </c>
      <c r="B13" s="2" cm="1">
        <f t="array" ref="B13">INDEX(Szenarien!B:S, $B$1+2, 11)</f>
        <v>5</v>
      </c>
      <c r="C13" s="2">
        <f>Lösungen!B12</f>
        <v>3</v>
      </c>
      <c r="D13" s="2">
        <f t="shared" ref="D13" si="9">PRODUCT(B13,C13)</f>
        <v>15</v>
      </c>
      <c r="E13" s="2">
        <f>Lösungen!C12</f>
        <v>3</v>
      </c>
      <c r="F13" s="2">
        <f t="shared" ref="F13" si="10">PRODUCT(B13,E13)</f>
        <v>15</v>
      </c>
      <c r="G13" s="2">
        <f>Lösungen!D12</f>
        <v>2</v>
      </c>
      <c r="H13" s="2">
        <f t="shared" ref="H13" si="11">PRODUCT(B13,G13)</f>
        <v>10</v>
      </c>
    </row>
    <row r="14" spans="1:8" x14ac:dyDescent="0.25">
      <c r="A14" s="2" t="s">
        <v>39</v>
      </c>
      <c r="B14" s="2" cm="1">
        <f t="array" ref="B14">INDEX(Szenarien!B:S, $B$1+2, 12)</f>
        <v>5</v>
      </c>
      <c r="C14" s="2">
        <f>Lösungen!B13</f>
        <v>3</v>
      </c>
      <c r="D14" s="2">
        <f>PRODUCT(B14,C14)</f>
        <v>15</v>
      </c>
      <c r="E14" s="2">
        <f>Lösungen!C13</f>
        <v>1</v>
      </c>
      <c r="F14" s="2">
        <f>PRODUCT(B14,E14)</f>
        <v>5</v>
      </c>
      <c r="G14" s="2">
        <f>Lösungen!D13</f>
        <v>1</v>
      </c>
      <c r="H14" s="2">
        <f>PRODUCT(B14,G14)</f>
        <v>5</v>
      </c>
    </row>
    <row r="15" spans="1:8" x14ac:dyDescent="0.25">
      <c r="A15" s="2" t="s">
        <v>31</v>
      </c>
      <c r="B15" s="2" cm="1">
        <f t="array" ref="B15">INDEX(Szenarien!B:S, $B$1+2, 13)</f>
        <v>5</v>
      </c>
      <c r="C15" s="2">
        <f>Lösungen!B14</f>
        <v>3</v>
      </c>
      <c r="D15" s="2">
        <f>PRODUCT(B15,C15)</f>
        <v>15</v>
      </c>
      <c r="E15" s="2">
        <f>Lösungen!C14</f>
        <v>3</v>
      </c>
      <c r="F15" s="2">
        <f>PRODUCT(B15,E15)</f>
        <v>15</v>
      </c>
      <c r="G15" s="2">
        <f>Lösungen!D14</f>
        <v>3</v>
      </c>
      <c r="H15" s="2">
        <f>PRODUCT(B15,G15)</f>
        <v>15</v>
      </c>
    </row>
    <row r="16" spans="1:8" x14ac:dyDescent="0.25">
      <c r="A16" s="2" t="s">
        <v>32</v>
      </c>
      <c r="B16" s="2" cm="1">
        <f t="array" ref="B16">INDEX(Szenarien!B:S, $B$1+2, 14)</f>
        <v>10</v>
      </c>
      <c r="C16" s="2">
        <f>Lösungen!B15</f>
        <v>3</v>
      </c>
      <c r="D16" s="2">
        <f t="shared" ref="D16:D17" si="12">PRODUCT(B16,C16)</f>
        <v>30</v>
      </c>
      <c r="E16" s="2">
        <f>Lösungen!C15</f>
        <v>3</v>
      </c>
      <c r="F16" s="2">
        <f t="shared" ref="F16:F17" si="13">PRODUCT(B16,E16)</f>
        <v>30</v>
      </c>
      <c r="G16" s="2">
        <f>Lösungen!D15</f>
        <v>1</v>
      </c>
      <c r="H16" s="2">
        <f t="shared" ref="H16:H17" si="14">PRODUCT(B16,G16)</f>
        <v>10</v>
      </c>
    </row>
    <row r="17" spans="1:8" x14ac:dyDescent="0.25">
      <c r="A17" s="2" t="s">
        <v>33</v>
      </c>
      <c r="B17" s="2" cm="1">
        <f t="array" ref="B17">INDEX(Szenarien!B:S, $B$1+2, 15)</f>
        <v>5</v>
      </c>
      <c r="C17" s="2">
        <f>Lösungen!B16</f>
        <v>2</v>
      </c>
      <c r="D17" s="2">
        <f t="shared" si="12"/>
        <v>10</v>
      </c>
      <c r="E17" s="2">
        <f>Lösungen!C16</f>
        <v>3</v>
      </c>
      <c r="F17" s="2">
        <f t="shared" si="13"/>
        <v>15</v>
      </c>
      <c r="G17" s="2">
        <f>Lösungen!D16</f>
        <v>1</v>
      </c>
      <c r="H17" s="2">
        <f t="shared" si="14"/>
        <v>5</v>
      </c>
    </row>
    <row r="18" spans="1:8" x14ac:dyDescent="0.25">
      <c r="A18" s="2" t="s">
        <v>34</v>
      </c>
      <c r="B18" s="2" cm="1">
        <f t="array" ref="B18">INDEX(Szenarien!B:S, $B$1+2, 16)</f>
        <v>0</v>
      </c>
      <c r="C18" s="2">
        <f>Lösungen!B17</f>
        <v>1</v>
      </c>
      <c r="D18" s="2">
        <f>PRODUCT(B18,C20)</f>
        <v>0</v>
      </c>
      <c r="E18" s="2">
        <f>Lösungen!C17</f>
        <v>3</v>
      </c>
      <c r="F18" s="2">
        <f>PRODUCT(B18,E20)</f>
        <v>0</v>
      </c>
      <c r="G18" s="2">
        <f>Lösungen!D17</f>
        <v>1</v>
      </c>
      <c r="H18" s="2">
        <f>PRODUCT(B18,G20)</f>
        <v>0</v>
      </c>
    </row>
    <row r="19" spans="1:8" x14ac:dyDescent="0.25">
      <c r="A19" s="2" t="s">
        <v>45</v>
      </c>
      <c r="B19" s="2" cm="1">
        <f t="array" ref="B19">INDEX(Szenarien!B:S, $B$1+2, 17)</f>
        <v>10</v>
      </c>
      <c r="C19" s="2">
        <f>Lösungen!B18</f>
        <v>3</v>
      </c>
      <c r="D19" s="2">
        <f t="shared" ref="D19:D20" si="15">PRODUCT(B19,C19)</f>
        <v>30</v>
      </c>
      <c r="E19" s="2">
        <f>Lösungen!C18</f>
        <v>1</v>
      </c>
      <c r="F19" s="2">
        <f t="shared" ref="F19:F20" si="16">PRODUCT(B19,E19)</f>
        <v>10</v>
      </c>
      <c r="G19" s="2">
        <f>Lösungen!D18</f>
        <v>2</v>
      </c>
      <c r="H19" s="2">
        <f t="shared" ref="H19:H20" si="17">PRODUCT(B19,G19)</f>
        <v>20</v>
      </c>
    </row>
    <row r="20" spans="1:8" x14ac:dyDescent="0.25">
      <c r="A20" s="2" t="s">
        <v>6</v>
      </c>
      <c r="B20" s="2" cm="1">
        <f t="array" ref="B20">INDEX(Szenarien!B:S, $B$1+2, 18)</f>
        <v>5</v>
      </c>
      <c r="C20" s="2">
        <f>Lösungen!B19</f>
        <v>3</v>
      </c>
      <c r="D20" s="2">
        <f t="shared" si="15"/>
        <v>15</v>
      </c>
      <c r="E20" s="2">
        <f>Lösungen!C19</f>
        <v>1</v>
      </c>
      <c r="F20" s="2">
        <f t="shared" si="16"/>
        <v>5</v>
      </c>
      <c r="G20" s="2">
        <f>Lösungen!D19</f>
        <v>2</v>
      </c>
      <c r="H20" s="2">
        <f t="shared" si="17"/>
        <v>10</v>
      </c>
    </row>
    <row r="21" spans="1:8" x14ac:dyDescent="0.25">
      <c r="A21" s="5" t="s">
        <v>13</v>
      </c>
      <c r="B21" s="5">
        <f>SUM(B3:B20)</f>
        <v>100</v>
      </c>
      <c r="C21" s="5"/>
      <c r="D21" s="5">
        <f>SUM(D3:D20)</f>
        <v>255</v>
      </c>
      <c r="E21" s="5"/>
      <c r="F21" s="5">
        <f>SUM(F3:F20)</f>
        <v>245</v>
      </c>
      <c r="G21" s="5"/>
      <c r="H21" s="5">
        <f t="shared" ref="H21" si="18">SUM(H3:H20)</f>
        <v>205</v>
      </c>
    </row>
    <row r="22" spans="1:8" x14ac:dyDescent="0.25">
      <c r="A22" s="5" t="s">
        <v>49</v>
      </c>
      <c r="B22" s="5"/>
      <c r="C22" s="5"/>
      <c r="D22" s="5">
        <v>77.5</v>
      </c>
      <c r="E22" s="5"/>
      <c r="F22" s="5">
        <v>67.5</v>
      </c>
      <c r="G22" s="5"/>
      <c r="H22" s="5">
        <v>35</v>
      </c>
    </row>
    <row r="23" spans="1:8" x14ac:dyDescent="0.25">
      <c r="A23" s="5" t="s">
        <v>14</v>
      </c>
      <c r="B23" s="5"/>
      <c r="C23" s="5"/>
      <c r="D23" s="5">
        <f>1+(F21&gt;D21)+(H21&gt;D21)</f>
        <v>1</v>
      </c>
      <c r="E23" s="5"/>
      <c r="F23" s="5">
        <f>1+(D21&gt;F21)+(H21&gt;F21)</f>
        <v>2</v>
      </c>
      <c r="G23" s="5"/>
      <c r="H23" s="5">
        <f>1+(D21&gt;H21)+(F21&gt;H21)</f>
        <v>3</v>
      </c>
    </row>
    <row r="24" spans="1:8" x14ac:dyDescent="0.25">
      <c r="A24" s="1"/>
      <c r="B24" s="1"/>
      <c r="C24" s="1"/>
      <c r="D24" s="1"/>
      <c r="E24" s="1"/>
      <c r="F24" s="1"/>
      <c r="G24" s="1"/>
      <c r="H24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B54A-C237-4E7A-BFCD-D53249FF2DDE}">
  <dimension ref="A1:H24"/>
  <sheetViews>
    <sheetView zoomScale="160" zoomScaleNormal="160" workbookViewId="0">
      <selection activeCell="E27" sqref="E27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18</v>
      </c>
      <c r="B1" s="4">
        <v>5</v>
      </c>
      <c r="C1" s="13" t="s">
        <v>46</v>
      </c>
      <c r="D1" s="13"/>
      <c r="E1" s="13" t="s">
        <v>12</v>
      </c>
      <c r="F1" s="13"/>
      <c r="G1" s="13" t="s">
        <v>17</v>
      </c>
      <c r="H1" s="13"/>
    </row>
    <row r="2" spans="1:8" x14ac:dyDescent="0.25">
      <c r="A2" s="4" t="s">
        <v>9</v>
      </c>
      <c r="B2" s="4" t="s">
        <v>11</v>
      </c>
      <c r="C2" s="4" t="s">
        <v>48</v>
      </c>
      <c r="D2" s="4" t="s">
        <v>47</v>
      </c>
      <c r="E2" s="4" t="s">
        <v>48</v>
      </c>
      <c r="F2" s="4" t="s">
        <v>47</v>
      </c>
      <c r="G2" s="4" t="s">
        <v>48</v>
      </c>
      <c r="H2" s="4" t="s">
        <v>47</v>
      </c>
    </row>
    <row r="3" spans="1:8" x14ac:dyDescent="0.25">
      <c r="A3" s="2" t="s">
        <v>1</v>
      </c>
      <c r="B3" s="2" cm="1">
        <f t="array" ref="B3">INDEX(Szenarien!B:S, $B$1+2, 1)</f>
        <v>5</v>
      </c>
      <c r="C3" s="2">
        <f>Lösungen!B2</f>
        <v>1</v>
      </c>
      <c r="D3" s="2">
        <f>PRODUCT(B3,C3)</f>
        <v>5</v>
      </c>
      <c r="E3" s="2">
        <f>Lösungen!C2</f>
        <v>2</v>
      </c>
      <c r="F3" s="2">
        <f>PRODUCT(B3,E3)</f>
        <v>10</v>
      </c>
      <c r="G3" s="2">
        <f>Lösungen!D2</f>
        <v>3</v>
      </c>
      <c r="H3" s="2">
        <f>PRODUCT(B3,G3)</f>
        <v>15</v>
      </c>
    </row>
    <row r="4" spans="1:8" x14ac:dyDescent="0.25">
      <c r="A4" s="2" t="s">
        <v>7</v>
      </c>
      <c r="B4" s="2" cm="1">
        <f t="array" ref="B4">INDEX(Szenarien!B:S, $B$1+2, 2)</f>
        <v>15</v>
      </c>
      <c r="C4" s="2">
        <f>Lösungen!B3</f>
        <v>3</v>
      </c>
      <c r="D4" s="2">
        <f>PRODUCT(B4,C4)</f>
        <v>45</v>
      </c>
      <c r="E4" s="2">
        <f>Lösungen!C3</f>
        <v>3</v>
      </c>
      <c r="F4" s="2">
        <f>PRODUCT(B4,E4)</f>
        <v>45</v>
      </c>
      <c r="G4" s="2">
        <f>Lösungen!D3</f>
        <v>1</v>
      </c>
      <c r="H4" s="2">
        <f>PRODUCT(B4,G4)</f>
        <v>15</v>
      </c>
    </row>
    <row r="5" spans="1:8" x14ac:dyDescent="0.25">
      <c r="A5" s="2" t="s">
        <v>8</v>
      </c>
      <c r="B5" s="2" cm="1">
        <f t="array" ref="B5">INDEX(Szenarien!B:S, $B$1+2, 3)</f>
        <v>10</v>
      </c>
      <c r="C5" s="2">
        <f>Lösungen!B4</f>
        <v>1</v>
      </c>
      <c r="D5" s="2">
        <f t="shared" ref="D5:D6" si="0">PRODUCT(B5,C5)</f>
        <v>10</v>
      </c>
      <c r="E5" s="2">
        <f>Lösungen!C4</f>
        <v>3</v>
      </c>
      <c r="F5" s="2">
        <f t="shared" ref="F5:F6" si="1">PRODUCT(B5,E5)</f>
        <v>30</v>
      </c>
      <c r="G5" s="2">
        <f>Lösungen!D4</f>
        <v>2</v>
      </c>
      <c r="H5" s="2">
        <f t="shared" ref="H5:H6" si="2">PRODUCT(B5,G5)</f>
        <v>20</v>
      </c>
    </row>
    <row r="6" spans="1:8" x14ac:dyDescent="0.25">
      <c r="A6" s="2" t="s">
        <v>25</v>
      </c>
      <c r="B6" s="2" cm="1">
        <f t="array" ref="B6">INDEX(Szenarien!B:S, $B$1+2, 4)</f>
        <v>0</v>
      </c>
      <c r="C6" s="2">
        <f>Lösungen!B5</f>
        <v>3</v>
      </c>
      <c r="D6" s="2">
        <f t="shared" si="0"/>
        <v>0</v>
      </c>
      <c r="E6" s="2">
        <f>Lösungen!C5</f>
        <v>3</v>
      </c>
      <c r="F6" s="2">
        <f t="shared" si="1"/>
        <v>0</v>
      </c>
      <c r="G6" s="2">
        <f>Lösungen!D5</f>
        <v>3</v>
      </c>
      <c r="H6" s="2">
        <f t="shared" si="2"/>
        <v>0</v>
      </c>
    </row>
    <row r="7" spans="1:8" x14ac:dyDescent="0.25">
      <c r="A7" s="2" t="s">
        <v>26</v>
      </c>
      <c r="B7" s="2" cm="1">
        <f t="array" ref="B7">INDEX(Szenarien!B:S, $B$1+2, 5)</f>
        <v>0</v>
      </c>
      <c r="C7" s="2">
        <f>Lösungen!B6</f>
        <v>3</v>
      </c>
      <c r="D7" s="2">
        <f>PRODUCT(B7,C9)</f>
        <v>0</v>
      </c>
      <c r="E7" s="2">
        <f>Lösungen!C6</f>
        <v>3</v>
      </c>
      <c r="F7" s="2">
        <f>PRODUCT(B7,E9)</f>
        <v>0</v>
      </c>
      <c r="G7" s="2">
        <f>Lösungen!D6</f>
        <v>3</v>
      </c>
      <c r="H7" s="2">
        <f>PRODUCT(B7,G9)</f>
        <v>0</v>
      </c>
    </row>
    <row r="8" spans="1:8" x14ac:dyDescent="0.25">
      <c r="A8" s="2" t="s">
        <v>27</v>
      </c>
      <c r="B8" s="2" cm="1">
        <f t="array" ref="B8">INDEX(Szenarien!B:S, $B$1+2, 6)</f>
        <v>10</v>
      </c>
      <c r="C8" s="2">
        <f>Lösungen!B7</f>
        <v>3</v>
      </c>
      <c r="D8" s="2">
        <f t="shared" ref="D8:D11" si="3">PRODUCT(B8,C8)</f>
        <v>30</v>
      </c>
      <c r="E8" s="2">
        <f>Lösungen!C7</f>
        <v>3</v>
      </c>
      <c r="F8" s="2">
        <f t="shared" ref="F8:F11" si="4">PRODUCT(B8,E8)</f>
        <v>30</v>
      </c>
      <c r="G8" s="2">
        <f>Lösungen!D7</f>
        <v>3</v>
      </c>
      <c r="H8" s="2">
        <f t="shared" ref="H8:H11" si="5">PRODUCT(B8,G8)</f>
        <v>30</v>
      </c>
    </row>
    <row r="9" spans="1:8" x14ac:dyDescent="0.25">
      <c r="A9" s="2" t="s">
        <v>28</v>
      </c>
      <c r="B9" s="2" cm="1">
        <f t="array" ref="B9">INDEX(Szenarien!B:S, $B$1+2, 7)</f>
        <v>5</v>
      </c>
      <c r="C9" s="2">
        <f>Lösungen!B8</f>
        <v>3</v>
      </c>
      <c r="D9" s="2">
        <f t="shared" si="3"/>
        <v>15</v>
      </c>
      <c r="E9" s="2">
        <f>Lösungen!C8</f>
        <v>2</v>
      </c>
      <c r="F9" s="2">
        <f t="shared" si="4"/>
        <v>10</v>
      </c>
      <c r="G9" s="2">
        <f>Lösungen!D8</f>
        <v>2</v>
      </c>
      <c r="H9" s="2">
        <f t="shared" si="5"/>
        <v>10</v>
      </c>
    </row>
    <row r="10" spans="1:8" x14ac:dyDescent="0.25">
      <c r="A10" s="2" t="s">
        <v>29</v>
      </c>
      <c r="B10" s="2" cm="1">
        <f t="array" ref="B10">INDEX(Szenarien!B:S, $B$1+2, 8)</f>
        <v>0</v>
      </c>
      <c r="C10" s="2">
        <f>Lösungen!B9</f>
        <v>3</v>
      </c>
      <c r="D10" s="2">
        <f t="shared" si="3"/>
        <v>0</v>
      </c>
      <c r="E10" s="2">
        <f>Lösungen!C9</f>
        <v>3</v>
      </c>
      <c r="F10" s="2">
        <f t="shared" si="4"/>
        <v>0</v>
      </c>
      <c r="G10" s="2">
        <f>Lösungen!D9</f>
        <v>3</v>
      </c>
      <c r="H10" s="2">
        <f t="shared" si="5"/>
        <v>0</v>
      </c>
    </row>
    <row r="11" spans="1:8" x14ac:dyDescent="0.25">
      <c r="A11" s="2" t="s">
        <v>30</v>
      </c>
      <c r="B11" s="2" cm="1">
        <f t="array" ref="B11">INDEX(Szenarien!B:S, $B$1+2, 9)</f>
        <v>10</v>
      </c>
      <c r="C11" s="2">
        <f>Lösungen!B10</f>
        <v>3</v>
      </c>
      <c r="D11" s="2">
        <f t="shared" si="3"/>
        <v>30</v>
      </c>
      <c r="E11" s="2">
        <f>Lösungen!C10</f>
        <v>1</v>
      </c>
      <c r="F11" s="2">
        <f t="shared" si="4"/>
        <v>10</v>
      </c>
      <c r="G11" s="2">
        <f>Lösungen!D10</f>
        <v>1</v>
      </c>
      <c r="H11" s="2">
        <f t="shared" si="5"/>
        <v>10</v>
      </c>
    </row>
    <row r="12" spans="1:8" x14ac:dyDescent="0.25">
      <c r="A12" s="2" t="s">
        <v>10</v>
      </c>
      <c r="B12" s="2" cm="1">
        <f t="array" ref="B12">INDEX(Szenarien!B:S, $B$1+2, 10)</f>
        <v>15</v>
      </c>
      <c r="C12" s="2">
        <f>Lösungen!B11</f>
        <v>3</v>
      </c>
      <c r="D12" s="2">
        <f t="shared" ref="D12" si="6">PRODUCT(B12,C16)</f>
        <v>45</v>
      </c>
      <c r="E12" s="2">
        <f>Lösungen!C11</f>
        <v>2</v>
      </c>
      <c r="F12" s="2">
        <f t="shared" ref="F12" si="7">PRODUCT(B12,E16)</f>
        <v>45</v>
      </c>
      <c r="G12" s="2">
        <f>Lösungen!D11</f>
        <v>1</v>
      </c>
      <c r="H12" s="2">
        <f t="shared" ref="H12" si="8">PRODUCT(B12,G16)</f>
        <v>15</v>
      </c>
    </row>
    <row r="13" spans="1:8" x14ac:dyDescent="0.25">
      <c r="A13" s="2" t="s">
        <v>43</v>
      </c>
      <c r="B13" s="2" cm="1">
        <f t="array" ref="B13">INDEX(Szenarien!B:S, $B$1+2, 11)</f>
        <v>0</v>
      </c>
      <c r="C13" s="2">
        <f>Lösungen!B12</f>
        <v>3</v>
      </c>
      <c r="D13" s="2">
        <f t="shared" ref="D13" si="9">PRODUCT(B13,C13)</f>
        <v>0</v>
      </c>
      <c r="E13" s="2">
        <f>Lösungen!C12</f>
        <v>3</v>
      </c>
      <c r="F13" s="2">
        <f t="shared" ref="F13" si="10">PRODUCT(B13,E13)</f>
        <v>0</v>
      </c>
      <c r="G13" s="2">
        <f>Lösungen!D12</f>
        <v>2</v>
      </c>
      <c r="H13" s="2">
        <f t="shared" ref="H13" si="11">PRODUCT(B13,G13)</f>
        <v>0</v>
      </c>
    </row>
    <row r="14" spans="1:8" x14ac:dyDescent="0.25">
      <c r="A14" s="2" t="s">
        <v>39</v>
      </c>
      <c r="B14" s="2" cm="1">
        <f t="array" ref="B14">INDEX(Szenarien!B:S, $B$1+2, 12)</f>
        <v>3</v>
      </c>
      <c r="C14" s="2">
        <f>Lösungen!B13</f>
        <v>3</v>
      </c>
      <c r="D14" s="2">
        <f>PRODUCT(B14,C14)</f>
        <v>9</v>
      </c>
      <c r="E14" s="2">
        <f>Lösungen!C13</f>
        <v>1</v>
      </c>
      <c r="F14" s="2">
        <f>PRODUCT(B14,E14)</f>
        <v>3</v>
      </c>
      <c r="G14" s="2">
        <f>Lösungen!D13</f>
        <v>1</v>
      </c>
      <c r="H14" s="2">
        <f>PRODUCT(B14,G14)</f>
        <v>3</v>
      </c>
    </row>
    <row r="15" spans="1:8" x14ac:dyDescent="0.25">
      <c r="A15" s="2" t="s">
        <v>31</v>
      </c>
      <c r="B15" s="2" cm="1">
        <f t="array" ref="B15">INDEX(Szenarien!B:S, $B$1+2, 13)</f>
        <v>7</v>
      </c>
      <c r="C15" s="2">
        <f>Lösungen!B14</f>
        <v>3</v>
      </c>
      <c r="D15" s="2">
        <f>PRODUCT(B15,C15)</f>
        <v>21</v>
      </c>
      <c r="E15" s="2">
        <f>Lösungen!C14</f>
        <v>3</v>
      </c>
      <c r="F15" s="2">
        <f>PRODUCT(B15,E15)</f>
        <v>21</v>
      </c>
      <c r="G15" s="2">
        <f>Lösungen!D14</f>
        <v>3</v>
      </c>
      <c r="H15" s="2">
        <f>PRODUCT(B15,G15)</f>
        <v>21</v>
      </c>
    </row>
    <row r="16" spans="1:8" x14ac:dyDescent="0.25">
      <c r="A16" s="2" t="s">
        <v>32</v>
      </c>
      <c r="B16" s="2" cm="1">
        <f t="array" ref="B16">INDEX(Szenarien!B:S, $B$1+2, 14)</f>
        <v>0</v>
      </c>
      <c r="C16" s="2">
        <f>Lösungen!B15</f>
        <v>3</v>
      </c>
      <c r="D16" s="2">
        <f t="shared" ref="D16:D17" si="12">PRODUCT(B16,C16)</f>
        <v>0</v>
      </c>
      <c r="E16" s="2">
        <f>Lösungen!C15</f>
        <v>3</v>
      </c>
      <c r="F16" s="2">
        <f t="shared" ref="F16:F17" si="13">PRODUCT(B16,E16)</f>
        <v>0</v>
      </c>
      <c r="G16" s="2">
        <f>Lösungen!D15</f>
        <v>1</v>
      </c>
      <c r="H16" s="2">
        <f t="shared" ref="H16:H17" si="14">PRODUCT(B16,G16)</f>
        <v>0</v>
      </c>
    </row>
    <row r="17" spans="1:8" x14ac:dyDescent="0.25">
      <c r="A17" s="2" t="s">
        <v>33</v>
      </c>
      <c r="B17" s="2" cm="1">
        <f t="array" ref="B17">INDEX(Szenarien!B:S, $B$1+2, 15)</f>
        <v>5</v>
      </c>
      <c r="C17" s="2">
        <f>Lösungen!B16</f>
        <v>2</v>
      </c>
      <c r="D17" s="2">
        <f t="shared" si="12"/>
        <v>10</v>
      </c>
      <c r="E17" s="2">
        <f>Lösungen!C16</f>
        <v>3</v>
      </c>
      <c r="F17" s="2">
        <f t="shared" si="13"/>
        <v>15</v>
      </c>
      <c r="G17" s="2">
        <f>Lösungen!D16</f>
        <v>1</v>
      </c>
      <c r="H17" s="2">
        <f t="shared" si="14"/>
        <v>5</v>
      </c>
    </row>
    <row r="18" spans="1:8" x14ac:dyDescent="0.25">
      <c r="A18" s="2" t="s">
        <v>34</v>
      </c>
      <c r="B18" s="2" cm="1">
        <f t="array" ref="B18">INDEX(Szenarien!B:S, $B$1+2, 16)</f>
        <v>0</v>
      </c>
      <c r="C18" s="2">
        <f>Lösungen!B17</f>
        <v>1</v>
      </c>
      <c r="D18" s="2">
        <f>PRODUCT(B18,C20)</f>
        <v>0</v>
      </c>
      <c r="E18" s="2">
        <f>Lösungen!C17</f>
        <v>3</v>
      </c>
      <c r="F18" s="2">
        <f>PRODUCT(B18,E20)</f>
        <v>0</v>
      </c>
      <c r="G18" s="2">
        <f>Lösungen!D17</f>
        <v>1</v>
      </c>
      <c r="H18" s="2">
        <f>PRODUCT(B18,G20)</f>
        <v>0</v>
      </c>
    </row>
    <row r="19" spans="1:8" x14ac:dyDescent="0.25">
      <c r="A19" s="2" t="s">
        <v>45</v>
      </c>
      <c r="B19" s="2" cm="1">
        <f t="array" ref="B19">INDEX(Szenarien!B:S, $B$1+2, 17)</f>
        <v>5</v>
      </c>
      <c r="C19" s="2">
        <f>Lösungen!B18</f>
        <v>3</v>
      </c>
      <c r="D19" s="2">
        <f t="shared" ref="D19:D20" si="15">PRODUCT(B19,C19)</f>
        <v>15</v>
      </c>
      <c r="E19" s="2">
        <f>Lösungen!C18</f>
        <v>1</v>
      </c>
      <c r="F19" s="2">
        <f t="shared" ref="F19:F20" si="16">PRODUCT(B19,E19)</f>
        <v>5</v>
      </c>
      <c r="G19" s="2">
        <f>Lösungen!D18</f>
        <v>2</v>
      </c>
      <c r="H19" s="2">
        <f t="shared" ref="H19:H20" si="17">PRODUCT(B19,G19)</f>
        <v>10</v>
      </c>
    </row>
    <row r="20" spans="1:8" x14ac:dyDescent="0.25">
      <c r="A20" s="2" t="s">
        <v>6</v>
      </c>
      <c r="B20" s="2" cm="1">
        <f t="array" ref="B20">INDEX(Szenarien!B:S, $B$1+2, 18)</f>
        <v>10</v>
      </c>
      <c r="C20" s="2">
        <f>Lösungen!B19</f>
        <v>3</v>
      </c>
      <c r="D20" s="2">
        <f t="shared" si="15"/>
        <v>30</v>
      </c>
      <c r="E20" s="2">
        <f>Lösungen!C19</f>
        <v>1</v>
      </c>
      <c r="F20" s="2">
        <f t="shared" si="16"/>
        <v>10</v>
      </c>
      <c r="G20" s="2">
        <f>Lösungen!D19</f>
        <v>2</v>
      </c>
      <c r="H20" s="2">
        <f t="shared" si="17"/>
        <v>20</v>
      </c>
    </row>
    <row r="21" spans="1:8" x14ac:dyDescent="0.25">
      <c r="A21" s="5" t="s">
        <v>13</v>
      </c>
      <c r="B21" s="5">
        <f>SUM(B3:B20)</f>
        <v>100</v>
      </c>
      <c r="C21" s="5"/>
      <c r="D21" s="5">
        <f>SUM(D3:D20)</f>
        <v>265</v>
      </c>
      <c r="E21" s="5"/>
      <c r="F21" s="5">
        <f>SUM(F3:F20)</f>
        <v>234</v>
      </c>
      <c r="G21" s="5"/>
      <c r="H21" s="5">
        <f t="shared" ref="H21" si="18">SUM(H3:H20)</f>
        <v>174</v>
      </c>
    </row>
    <row r="22" spans="1:8" x14ac:dyDescent="0.25">
      <c r="A22" s="5" t="s">
        <v>49</v>
      </c>
      <c r="B22" s="5"/>
      <c r="C22" s="5"/>
      <c r="D22" s="5">
        <v>77.5</v>
      </c>
      <c r="E22" s="5"/>
      <c r="F22" s="5">
        <v>67.5</v>
      </c>
      <c r="G22" s="5"/>
      <c r="H22" s="5">
        <v>35</v>
      </c>
    </row>
    <row r="23" spans="1:8" x14ac:dyDescent="0.25">
      <c r="A23" s="5" t="s">
        <v>14</v>
      </c>
      <c r="B23" s="5"/>
      <c r="C23" s="5"/>
      <c r="D23" s="5">
        <f>1+(F21&gt;D21)+(H21&gt;D21)</f>
        <v>1</v>
      </c>
      <c r="E23" s="5"/>
      <c r="F23" s="5">
        <f>1+(D21&gt;F21)+(H21&gt;F21)</f>
        <v>2</v>
      </c>
      <c r="G23" s="5"/>
      <c r="H23" s="5">
        <f>1+(D21&gt;H21)+(F21&gt;H21)</f>
        <v>3</v>
      </c>
    </row>
    <row r="24" spans="1:8" x14ac:dyDescent="0.25">
      <c r="A24" s="1"/>
      <c r="B24" s="1"/>
      <c r="C24" s="1"/>
      <c r="D24" s="1"/>
      <c r="E24" s="1"/>
      <c r="F24" s="1"/>
      <c r="G24" s="1"/>
      <c r="H24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F9BA-477F-4300-AFB9-96B57D6217D9}">
  <dimension ref="A1:H24"/>
  <sheetViews>
    <sheetView zoomScale="160" zoomScaleNormal="160" workbookViewId="0">
      <selection activeCell="A26" sqref="A26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18</v>
      </c>
      <c r="B1" s="4">
        <v>6</v>
      </c>
      <c r="C1" s="13" t="s">
        <v>46</v>
      </c>
      <c r="D1" s="13"/>
      <c r="E1" s="13" t="s">
        <v>12</v>
      </c>
      <c r="F1" s="13"/>
      <c r="G1" s="13" t="s">
        <v>17</v>
      </c>
      <c r="H1" s="13"/>
    </row>
    <row r="2" spans="1:8" x14ac:dyDescent="0.25">
      <c r="A2" s="4" t="s">
        <v>9</v>
      </c>
      <c r="B2" s="4" t="s">
        <v>11</v>
      </c>
      <c r="C2" s="4" t="s">
        <v>48</v>
      </c>
      <c r="D2" s="4" t="s">
        <v>47</v>
      </c>
      <c r="E2" s="4" t="s">
        <v>48</v>
      </c>
      <c r="F2" s="4" t="s">
        <v>47</v>
      </c>
      <c r="G2" s="4" t="s">
        <v>48</v>
      </c>
      <c r="H2" s="4" t="s">
        <v>47</v>
      </c>
    </row>
    <row r="3" spans="1:8" x14ac:dyDescent="0.25">
      <c r="A3" s="2" t="s">
        <v>1</v>
      </c>
      <c r="B3" s="2" cm="1">
        <f t="array" ref="B3">INDEX(Szenarien!B:S, $B$1+2, 1)</f>
        <v>10</v>
      </c>
      <c r="C3" s="2">
        <f>Lösungen!B2</f>
        <v>1</v>
      </c>
      <c r="D3" s="2">
        <f>PRODUCT(B3,C3)</f>
        <v>10</v>
      </c>
      <c r="E3" s="2">
        <f>Lösungen!C2</f>
        <v>2</v>
      </c>
      <c r="F3" s="2">
        <f>PRODUCT(B3,E3)</f>
        <v>20</v>
      </c>
      <c r="G3" s="2">
        <f>Lösungen!D2</f>
        <v>3</v>
      </c>
      <c r="H3" s="2">
        <f>PRODUCT(B3,G3)</f>
        <v>30</v>
      </c>
    </row>
    <row r="4" spans="1:8" x14ac:dyDescent="0.25">
      <c r="A4" s="2" t="s">
        <v>7</v>
      </c>
      <c r="B4" s="2" cm="1">
        <f t="array" ref="B4">INDEX(Szenarien!B:S, $B$1+2, 2)</f>
        <v>10</v>
      </c>
      <c r="C4" s="2">
        <f>Lösungen!B3</f>
        <v>3</v>
      </c>
      <c r="D4" s="2">
        <f>PRODUCT(B4,C4)</f>
        <v>30</v>
      </c>
      <c r="E4" s="2">
        <f>Lösungen!C3</f>
        <v>3</v>
      </c>
      <c r="F4" s="2">
        <f>PRODUCT(B4,E4)</f>
        <v>30</v>
      </c>
      <c r="G4" s="2">
        <f>Lösungen!D3</f>
        <v>1</v>
      </c>
      <c r="H4" s="2">
        <f>PRODUCT(B4,G4)</f>
        <v>10</v>
      </c>
    </row>
    <row r="5" spans="1:8" x14ac:dyDescent="0.25">
      <c r="A5" s="2" t="s">
        <v>8</v>
      </c>
      <c r="B5" s="2" cm="1">
        <f t="array" ref="B5">INDEX(Szenarien!B:S, $B$1+2, 3)</f>
        <v>10</v>
      </c>
      <c r="C5" s="2">
        <f>Lösungen!B4</f>
        <v>1</v>
      </c>
      <c r="D5" s="2">
        <f t="shared" ref="D5:D6" si="0">PRODUCT(B5,C5)</f>
        <v>10</v>
      </c>
      <c r="E5" s="2">
        <f>Lösungen!C4</f>
        <v>3</v>
      </c>
      <c r="F5" s="2">
        <f t="shared" ref="F5:F6" si="1">PRODUCT(B5,E5)</f>
        <v>30</v>
      </c>
      <c r="G5" s="2">
        <f>Lösungen!D4</f>
        <v>2</v>
      </c>
      <c r="H5" s="2">
        <f t="shared" ref="H5:H6" si="2">PRODUCT(B5,G5)</f>
        <v>20</v>
      </c>
    </row>
    <row r="6" spans="1:8" x14ac:dyDescent="0.25">
      <c r="A6" s="2" t="s">
        <v>25</v>
      </c>
      <c r="B6" s="2" cm="1">
        <f t="array" ref="B6">INDEX(Szenarien!B:S, $B$1+2, 4)</f>
        <v>3.3333333000000001</v>
      </c>
      <c r="C6" s="2">
        <f>Lösungen!B5</f>
        <v>3</v>
      </c>
      <c r="D6" s="2">
        <f t="shared" si="0"/>
        <v>9.9999999000000006</v>
      </c>
      <c r="E6" s="2">
        <f>Lösungen!C5</f>
        <v>3</v>
      </c>
      <c r="F6" s="2">
        <f t="shared" si="1"/>
        <v>9.9999999000000006</v>
      </c>
      <c r="G6" s="2">
        <f>Lösungen!D5</f>
        <v>3</v>
      </c>
      <c r="H6" s="2">
        <f t="shared" si="2"/>
        <v>9.9999999000000006</v>
      </c>
    </row>
    <row r="7" spans="1:8" x14ac:dyDescent="0.25">
      <c r="A7" s="2" t="s">
        <v>26</v>
      </c>
      <c r="B7" s="2" cm="1">
        <f t="array" ref="B7">INDEX(Szenarien!B:S, $B$1+2, 5)</f>
        <v>3.3333333000000001</v>
      </c>
      <c r="C7" s="2">
        <f>Lösungen!B6</f>
        <v>3</v>
      </c>
      <c r="D7" s="2">
        <f>PRODUCT(B7,C9)</f>
        <v>9.9999999000000006</v>
      </c>
      <c r="E7" s="2">
        <f>Lösungen!C6</f>
        <v>3</v>
      </c>
      <c r="F7" s="2">
        <f>PRODUCT(B7,E9)</f>
        <v>6.6666666000000001</v>
      </c>
      <c r="G7" s="2">
        <f>Lösungen!D6</f>
        <v>3</v>
      </c>
      <c r="H7" s="2">
        <f>PRODUCT(B7,G9)</f>
        <v>6.6666666000000001</v>
      </c>
    </row>
    <row r="8" spans="1:8" x14ac:dyDescent="0.25">
      <c r="A8" s="2" t="s">
        <v>27</v>
      </c>
      <c r="B8" s="2" cm="1">
        <f t="array" ref="B8">INDEX(Szenarien!B:S, $B$1+2, 6)</f>
        <v>3.3333333000000001</v>
      </c>
      <c r="C8" s="2">
        <f>Lösungen!B7</f>
        <v>3</v>
      </c>
      <c r="D8" s="2">
        <f t="shared" ref="D8:D11" si="3">PRODUCT(B8,C8)</f>
        <v>9.9999999000000006</v>
      </c>
      <c r="E8" s="2">
        <f>Lösungen!C7</f>
        <v>3</v>
      </c>
      <c r="F8" s="2">
        <f t="shared" ref="F8:F11" si="4">PRODUCT(B8,E8)</f>
        <v>9.9999999000000006</v>
      </c>
      <c r="G8" s="2">
        <f>Lösungen!D7</f>
        <v>3</v>
      </c>
      <c r="H8" s="2">
        <f t="shared" ref="H8:H11" si="5">PRODUCT(B8,G8)</f>
        <v>9.9999999000000006</v>
      </c>
    </row>
    <row r="9" spans="1:8" x14ac:dyDescent="0.25">
      <c r="A9" s="2" t="s">
        <v>28</v>
      </c>
      <c r="B9" s="2" cm="1">
        <f t="array" ref="B9">INDEX(Szenarien!B:S, $B$1+2, 7)</f>
        <v>3.3333333000000001</v>
      </c>
      <c r="C9" s="2">
        <f>Lösungen!B8</f>
        <v>3</v>
      </c>
      <c r="D9" s="2">
        <f t="shared" si="3"/>
        <v>9.9999999000000006</v>
      </c>
      <c r="E9" s="2">
        <f>Lösungen!C8</f>
        <v>2</v>
      </c>
      <c r="F9" s="2">
        <f t="shared" si="4"/>
        <v>6.6666666000000001</v>
      </c>
      <c r="G9" s="2">
        <f>Lösungen!D8</f>
        <v>2</v>
      </c>
      <c r="H9" s="2">
        <f t="shared" si="5"/>
        <v>6.6666666000000001</v>
      </c>
    </row>
    <row r="10" spans="1:8" x14ac:dyDescent="0.25">
      <c r="A10" s="2" t="s">
        <v>29</v>
      </c>
      <c r="B10" s="2" cm="1">
        <f t="array" ref="B10">INDEX(Szenarien!B:S, $B$1+2, 8)</f>
        <v>3.3333333000000001</v>
      </c>
      <c r="C10" s="2">
        <f>Lösungen!B9</f>
        <v>3</v>
      </c>
      <c r="D10" s="2">
        <f t="shared" si="3"/>
        <v>9.9999999000000006</v>
      </c>
      <c r="E10" s="2">
        <f>Lösungen!C9</f>
        <v>3</v>
      </c>
      <c r="F10" s="2">
        <f t="shared" si="4"/>
        <v>9.9999999000000006</v>
      </c>
      <c r="G10" s="2">
        <f>Lösungen!D9</f>
        <v>3</v>
      </c>
      <c r="H10" s="2">
        <f t="shared" si="5"/>
        <v>9.9999999000000006</v>
      </c>
    </row>
    <row r="11" spans="1:8" x14ac:dyDescent="0.25">
      <c r="A11" s="2" t="s">
        <v>30</v>
      </c>
      <c r="B11" s="2" cm="1">
        <f t="array" ref="B11">INDEX(Szenarien!B:S, $B$1+2, 9)</f>
        <v>3.3333333000000001</v>
      </c>
      <c r="C11" s="2">
        <f>Lösungen!B10</f>
        <v>3</v>
      </c>
      <c r="D11" s="2">
        <f t="shared" si="3"/>
        <v>9.9999999000000006</v>
      </c>
      <c r="E11" s="2">
        <f>Lösungen!C10</f>
        <v>1</v>
      </c>
      <c r="F11" s="2">
        <f t="shared" si="4"/>
        <v>3.3333333000000001</v>
      </c>
      <c r="G11" s="2">
        <f>Lösungen!D10</f>
        <v>1</v>
      </c>
      <c r="H11" s="2">
        <f t="shared" si="5"/>
        <v>3.3333333000000001</v>
      </c>
    </row>
    <row r="12" spans="1:8" x14ac:dyDescent="0.25">
      <c r="A12" s="2" t="s">
        <v>10</v>
      </c>
      <c r="B12" s="2" cm="1">
        <f t="array" ref="B12">INDEX(Szenarien!B:S, $B$1+2, 10)</f>
        <v>10</v>
      </c>
      <c r="C12" s="2">
        <f>Lösungen!B11</f>
        <v>3</v>
      </c>
      <c r="D12" s="2">
        <f t="shared" ref="D12" si="6">PRODUCT(B12,C16)</f>
        <v>30</v>
      </c>
      <c r="E12" s="2">
        <f>Lösungen!C11</f>
        <v>2</v>
      </c>
      <c r="F12" s="2">
        <f t="shared" ref="F12" si="7">PRODUCT(B12,E16)</f>
        <v>30</v>
      </c>
      <c r="G12" s="2">
        <f>Lösungen!D11</f>
        <v>1</v>
      </c>
      <c r="H12" s="2">
        <f t="shared" ref="H12" si="8">PRODUCT(B12,G16)</f>
        <v>10</v>
      </c>
    </row>
    <row r="13" spans="1:8" x14ac:dyDescent="0.25">
      <c r="A13" s="2" t="s">
        <v>43</v>
      </c>
      <c r="B13" s="2" cm="1">
        <f t="array" ref="B13">INDEX(Szenarien!B:S, $B$1+2, 11)</f>
        <v>3.3333333000000001</v>
      </c>
      <c r="C13" s="2">
        <f>Lösungen!B12</f>
        <v>3</v>
      </c>
      <c r="D13" s="2">
        <f t="shared" ref="D13" si="9">PRODUCT(B13,C13)</f>
        <v>9.9999999000000006</v>
      </c>
      <c r="E13" s="2">
        <f>Lösungen!C12</f>
        <v>3</v>
      </c>
      <c r="F13" s="2">
        <f t="shared" ref="F13" si="10">PRODUCT(B13,E13)</f>
        <v>9.9999999000000006</v>
      </c>
      <c r="G13" s="2">
        <f>Lösungen!D12</f>
        <v>2</v>
      </c>
      <c r="H13" s="2">
        <f t="shared" ref="H13" si="11">PRODUCT(B13,G13)</f>
        <v>6.6666666000000001</v>
      </c>
    </row>
    <row r="14" spans="1:8" x14ac:dyDescent="0.25">
      <c r="A14" s="2" t="s">
        <v>39</v>
      </c>
      <c r="B14" s="2" cm="1">
        <f t="array" ref="B14">INDEX(Szenarien!B:S, $B$1+2, 12)</f>
        <v>3.3333333000000001</v>
      </c>
      <c r="C14" s="2">
        <f>Lösungen!B13</f>
        <v>3</v>
      </c>
      <c r="D14" s="2">
        <f>PRODUCT(B14,C14)</f>
        <v>9.9999999000000006</v>
      </c>
      <c r="E14" s="2">
        <f>Lösungen!C13</f>
        <v>1</v>
      </c>
      <c r="F14" s="2">
        <f>PRODUCT(B14,E14)</f>
        <v>3.3333333000000001</v>
      </c>
      <c r="G14" s="2">
        <f>Lösungen!D13</f>
        <v>1</v>
      </c>
      <c r="H14" s="2">
        <f>PRODUCT(B14,G14)</f>
        <v>3.3333333000000001</v>
      </c>
    </row>
    <row r="15" spans="1:8" x14ac:dyDescent="0.25">
      <c r="A15" s="2" t="s">
        <v>31</v>
      </c>
      <c r="B15" s="2" cm="1">
        <f t="array" ref="B15">INDEX(Szenarien!B:S, $B$1+2, 13)</f>
        <v>3.3333333000000001</v>
      </c>
      <c r="C15" s="2">
        <f>Lösungen!B14</f>
        <v>3</v>
      </c>
      <c r="D15" s="2">
        <f>PRODUCT(B15,C15)</f>
        <v>9.9999999000000006</v>
      </c>
      <c r="E15" s="2">
        <f>Lösungen!C14</f>
        <v>3</v>
      </c>
      <c r="F15" s="2">
        <f>PRODUCT(B15,E15)</f>
        <v>9.9999999000000006</v>
      </c>
      <c r="G15" s="2">
        <f>Lösungen!D14</f>
        <v>3</v>
      </c>
      <c r="H15" s="2">
        <f>PRODUCT(B15,G15)</f>
        <v>9.9999999000000006</v>
      </c>
    </row>
    <row r="16" spans="1:8" x14ac:dyDescent="0.25">
      <c r="A16" s="2" t="s">
        <v>32</v>
      </c>
      <c r="B16" s="2" cm="1">
        <f t="array" ref="B16">INDEX(Szenarien!B:S, $B$1+2, 14)</f>
        <v>3.3333333000000001</v>
      </c>
      <c r="C16" s="2">
        <f>Lösungen!B15</f>
        <v>3</v>
      </c>
      <c r="D16" s="2">
        <f t="shared" ref="D16:D17" si="12">PRODUCT(B16,C16)</f>
        <v>9.9999999000000006</v>
      </c>
      <c r="E16" s="2">
        <f>Lösungen!C15</f>
        <v>3</v>
      </c>
      <c r="F16" s="2">
        <f t="shared" ref="F16:F17" si="13">PRODUCT(B16,E16)</f>
        <v>9.9999999000000006</v>
      </c>
      <c r="G16" s="2">
        <f>Lösungen!D15</f>
        <v>1</v>
      </c>
      <c r="H16" s="2">
        <f t="shared" ref="H16:H17" si="14">PRODUCT(B16,G16)</f>
        <v>3.3333333000000001</v>
      </c>
    </row>
    <row r="17" spans="1:8" x14ac:dyDescent="0.25">
      <c r="A17" s="2" t="s">
        <v>33</v>
      </c>
      <c r="B17" s="2" cm="1">
        <f t="array" ref="B17">INDEX(Szenarien!B:S, $B$1+2, 15)</f>
        <v>3.3333333000000001</v>
      </c>
      <c r="C17" s="2">
        <f>Lösungen!B16</f>
        <v>2</v>
      </c>
      <c r="D17" s="2">
        <f t="shared" si="12"/>
        <v>6.6666666000000001</v>
      </c>
      <c r="E17" s="2">
        <f>Lösungen!C16</f>
        <v>3</v>
      </c>
      <c r="F17" s="2">
        <f t="shared" si="13"/>
        <v>9.9999999000000006</v>
      </c>
      <c r="G17" s="2">
        <f>Lösungen!D16</f>
        <v>1</v>
      </c>
      <c r="H17" s="2">
        <f t="shared" si="14"/>
        <v>3.3333333000000001</v>
      </c>
    </row>
    <row r="18" spans="1:8" x14ac:dyDescent="0.25">
      <c r="A18" s="2" t="s">
        <v>34</v>
      </c>
      <c r="B18" s="2" cm="1">
        <f t="array" ref="B18">INDEX(Szenarien!B:S, $B$1+2, 16)</f>
        <v>3.3333333000000001</v>
      </c>
      <c r="C18" s="2">
        <f>Lösungen!B17</f>
        <v>1</v>
      </c>
      <c r="D18" s="2">
        <f>PRODUCT(B18,C20)</f>
        <v>9.9999999000000006</v>
      </c>
      <c r="E18" s="2">
        <f>Lösungen!C17</f>
        <v>3</v>
      </c>
      <c r="F18" s="2">
        <f>PRODUCT(B18,E20)</f>
        <v>3.3333333000000001</v>
      </c>
      <c r="G18" s="2">
        <f>Lösungen!D17</f>
        <v>1</v>
      </c>
      <c r="H18" s="2">
        <f>PRODUCT(B18,G20)</f>
        <v>6.6666666000000001</v>
      </c>
    </row>
    <row r="19" spans="1:8" x14ac:dyDescent="0.25">
      <c r="A19" s="2" t="s">
        <v>45</v>
      </c>
      <c r="B19" s="2" cm="1">
        <f t="array" ref="B19">INDEX(Szenarien!B:S, $B$1+2, 17)</f>
        <v>10</v>
      </c>
      <c r="C19" s="2">
        <f>Lösungen!B18</f>
        <v>3</v>
      </c>
      <c r="D19" s="2">
        <f t="shared" ref="D19:D20" si="15">PRODUCT(B19,C19)</f>
        <v>30</v>
      </c>
      <c r="E19" s="2">
        <f>Lösungen!C18</f>
        <v>1</v>
      </c>
      <c r="F19" s="2">
        <f t="shared" ref="F19:F20" si="16">PRODUCT(B19,E19)</f>
        <v>10</v>
      </c>
      <c r="G19" s="2">
        <f>Lösungen!D18</f>
        <v>2</v>
      </c>
      <c r="H19" s="2">
        <f t="shared" ref="H19:H20" si="17">PRODUCT(B19,G19)</f>
        <v>20</v>
      </c>
    </row>
    <row r="20" spans="1:8" x14ac:dyDescent="0.25">
      <c r="A20" s="2" t="s">
        <v>6</v>
      </c>
      <c r="B20" s="2" cm="1">
        <f t="array" ref="B20">INDEX(Szenarien!B:S, $B$1+2, 18)</f>
        <v>10</v>
      </c>
      <c r="C20" s="2">
        <f>Lösungen!B19</f>
        <v>3</v>
      </c>
      <c r="D20" s="2">
        <f t="shared" si="15"/>
        <v>30</v>
      </c>
      <c r="E20" s="2">
        <f>Lösungen!C19</f>
        <v>1</v>
      </c>
      <c r="F20" s="2">
        <f t="shared" si="16"/>
        <v>10</v>
      </c>
      <c r="G20" s="2">
        <f>Lösungen!D19</f>
        <v>2</v>
      </c>
      <c r="H20" s="2">
        <f t="shared" si="17"/>
        <v>20</v>
      </c>
    </row>
    <row r="21" spans="1:8" x14ac:dyDescent="0.25">
      <c r="A21" s="5" t="s">
        <v>13</v>
      </c>
      <c r="B21" s="5">
        <f>SUM(B3:B20)</f>
        <v>99.999999600000024</v>
      </c>
      <c r="C21" s="5"/>
      <c r="D21" s="5">
        <f>SUM(D3:D20)</f>
        <v>256.66666550000008</v>
      </c>
      <c r="E21" s="5"/>
      <c r="F21" s="5">
        <f>SUM(F3:F20)</f>
        <v>223.33333240000002</v>
      </c>
      <c r="G21" s="5"/>
      <c r="H21" s="5">
        <f t="shared" ref="H21" si="18">SUM(H3:H20)</f>
        <v>189.99999920000002</v>
      </c>
    </row>
    <row r="22" spans="1:8" x14ac:dyDescent="0.25">
      <c r="A22" s="5" t="s">
        <v>49</v>
      </c>
      <c r="B22" s="5"/>
      <c r="C22" s="5"/>
      <c r="D22" s="5">
        <v>77.5</v>
      </c>
      <c r="E22" s="5"/>
      <c r="F22" s="5">
        <v>67.5</v>
      </c>
      <c r="G22" s="5"/>
      <c r="H22" s="5">
        <v>35</v>
      </c>
    </row>
    <row r="23" spans="1:8" x14ac:dyDescent="0.25">
      <c r="A23" s="5" t="s">
        <v>14</v>
      </c>
      <c r="B23" s="5"/>
      <c r="C23" s="5"/>
      <c r="D23" s="5">
        <f>1+(F21&gt;D21)+(H21&gt;D21)</f>
        <v>1</v>
      </c>
      <c r="E23" s="5"/>
      <c r="F23" s="5">
        <f>1+(D21&gt;F21)+(H21&gt;F21)</f>
        <v>2</v>
      </c>
      <c r="G23" s="5"/>
      <c r="H23" s="5">
        <f>1+(D21&gt;H21)+(F21&gt;H21)</f>
        <v>3</v>
      </c>
    </row>
    <row r="24" spans="1:8" x14ac:dyDescent="0.25">
      <c r="A24" s="1"/>
      <c r="B24" s="1"/>
      <c r="C24" s="1"/>
      <c r="D24" s="1"/>
      <c r="E24" s="1"/>
      <c r="F24" s="1"/>
      <c r="G24" s="1"/>
      <c r="H24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Szenarien</vt:lpstr>
      <vt:lpstr>Lösungen</vt:lpstr>
      <vt:lpstr>Vorlage</vt:lpstr>
      <vt:lpstr>Szenario 1</vt:lpstr>
      <vt:lpstr>Szenario 2</vt:lpstr>
      <vt:lpstr>Szenario 3</vt:lpstr>
      <vt:lpstr>Szenario 4</vt:lpstr>
      <vt:lpstr>Szenario 5</vt:lpstr>
      <vt:lpstr>Szenario 0 - Referenz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Sieveneck</dc:creator>
  <cp:lastModifiedBy>Niclas Sieveneck</cp:lastModifiedBy>
  <dcterms:created xsi:type="dcterms:W3CDTF">2026-05-29T18:03:36Z</dcterms:created>
  <dcterms:modified xsi:type="dcterms:W3CDTF">2026-08-03T22:25:18Z</dcterms:modified>
</cp:coreProperties>
</file>