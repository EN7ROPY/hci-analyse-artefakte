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71988a8a86cc1/Studium/Bachelor/Artefakte/Nutzwertanalyse - Alternative Versionen/"/>
    </mc:Choice>
  </mc:AlternateContent>
  <xr:revisionPtr revIDLastSave="191" documentId="8_{07ADA279-FDEA-4443-8009-F886D968C4FD}" xr6:coauthVersionLast="47" xr6:coauthVersionMax="47" xr10:uidLastSave="{BB4F28C8-4CB2-45A2-BFA5-A7264EBED4FA}"/>
  <bookViews>
    <workbookView xWindow="-120" yWindow="-120" windowWidth="38640" windowHeight="21120" xr2:uid="{20C679E4-C9D8-48C4-B659-4235CD5DE514}"/>
  </bookViews>
  <sheets>
    <sheet name="Szenarien" sheetId="1" r:id="rId1"/>
    <sheet name="Lösungen" sheetId="7" r:id="rId2"/>
    <sheet name="Vorlage" sheetId="2" r:id="rId3"/>
    <sheet name="Szenario 1" sheetId="9" r:id="rId4"/>
    <sheet name="Szenario 1 - Referenz" sheetId="22" r:id="rId5"/>
    <sheet name="Szenario 2" sheetId="17" r:id="rId6"/>
    <sheet name="Szenario 2 - Referenz" sheetId="21" r:id="rId7"/>
    <sheet name="Szenario 3" sheetId="11" r:id="rId8"/>
    <sheet name="Szenario 3 - Referenz" sheetId="20" r:id="rId9"/>
    <sheet name="Szenario 4" sheetId="12" r:id="rId10"/>
    <sheet name="Szenario 4 - Referenz" sheetId="18" r:id="rId11"/>
    <sheet name="Szenario 5" sheetId="13" r:id="rId12"/>
    <sheet name="Szenario 5 - Referenz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2" l="1"/>
  <c r="E12" i="22"/>
  <c r="C12" i="22"/>
  <c r="G11" i="22"/>
  <c r="E11" i="22"/>
  <c r="C11" i="22"/>
  <c r="G10" i="22"/>
  <c r="E10" i="22"/>
  <c r="C10" i="22"/>
  <c r="G9" i="22"/>
  <c r="E9" i="22"/>
  <c r="C9" i="22"/>
  <c r="G8" i="22"/>
  <c r="E8" i="22"/>
  <c r="C8" i="22"/>
  <c r="G7" i="22"/>
  <c r="E7" i="22"/>
  <c r="C7" i="22"/>
  <c r="G6" i="22"/>
  <c r="E6" i="22"/>
  <c r="C6" i="22"/>
  <c r="G5" i="22"/>
  <c r="E5" i="22"/>
  <c r="C5" i="22"/>
  <c r="G4" i="22"/>
  <c r="E4" i="22"/>
  <c r="C4" i="22"/>
  <c r="G3" i="22"/>
  <c r="E3" i="22"/>
  <c r="C3" i="22"/>
  <c r="G12" i="21"/>
  <c r="E12" i="21"/>
  <c r="C12" i="21"/>
  <c r="G11" i="21"/>
  <c r="E11" i="21"/>
  <c r="C11" i="21"/>
  <c r="G10" i="21"/>
  <c r="E10" i="21"/>
  <c r="C10" i="21"/>
  <c r="G9" i="21"/>
  <c r="E9" i="21"/>
  <c r="C9" i="21"/>
  <c r="G8" i="21"/>
  <c r="E8" i="21"/>
  <c r="C8" i="21"/>
  <c r="G7" i="21"/>
  <c r="E7" i="21"/>
  <c r="C7" i="21"/>
  <c r="G6" i="21"/>
  <c r="E6" i="21"/>
  <c r="C6" i="21"/>
  <c r="G5" i="21"/>
  <c r="E5" i="21"/>
  <c r="C5" i="21"/>
  <c r="G4" i="21"/>
  <c r="E4" i="21"/>
  <c r="C4" i="21"/>
  <c r="G3" i="21"/>
  <c r="E3" i="21"/>
  <c r="C3" i="21"/>
  <c r="B13" i="20"/>
  <c r="G12" i="20"/>
  <c r="H12" i="20" s="1"/>
  <c r="E12" i="20"/>
  <c r="F12" i="20" s="1"/>
  <c r="C12" i="20"/>
  <c r="D12" i="20" s="1"/>
  <c r="H11" i="20"/>
  <c r="G11" i="20"/>
  <c r="E11" i="20"/>
  <c r="F11" i="20" s="1"/>
  <c r="C11" i="20"/>
  <c r="D11" i="20" s="1"/>
  <c r="H10" i="20"/>
  <c r="G10" i="20"/>
  <c r="E10" i="20"/>
  <c r="F10" i="20" s="1"/>
  <c r="C10" i="20"/>
  <c r="D10" i="20" s="1"/>
  <c r="G9" i="20"/>
  <c r="H9" i="20" s="1"/>
  <c r="E9" i="20"/>
  <c r="F9" i="20" s="1"/>
  <c r="D9" i="20"/>
  <c r="C9" i="20"/>
  <c r="G8" i="20"/>
  <c r="H8" i="20" s="1"/>
  <c r="E8" i="20"/>
  <c r="F8" i="20" s="1"/>
  <c r="D8" i="20"/>
  <c r="C8" i="20"/>
  <c r="G7" i="20"/>
  <c r="H7" i="20" s="1"/>
  <c r="E7" i="20"/>
  <c r="F7" i="20" s="1"/>
  <c r="D7" i="20"/>
  <c r="C7" i="20"/>
  <c r="H6" i="20"/>
  <c r="G6" i="20"/>
  <c r="F6" i="20"/>
  <c r="E6" i="20"/>
  <c r="D6" i="20"/>
  <c r="C6" i="20"/>
  <c r="G5" i="20"/>
  <c r="H5" i="20" s="1"/>
  <c r="F5" i="20"/>
  <c r="E5" i="20"/>
  <c r="C5" i="20"/>
  <c r="D5" i="20" s="1"/>
  <c r="G4" i="20"/>
  <c r="H4" i="20" s="1"/>
  <c r="E4" i="20"/>
  <c r="F4" i="20" s="1"/>
  <c r="C4" i="20"/>
  <c r="D4" i="20" s="1"/>
  <c r="H3" i="20"/>
  <c r="G3" i="20"/>
  <c r="F3" i="20"/>
  <c r="E3" i="20"/>
  <c r="C3" i="20"/>
  <c r="D3" i="20" s="1"/>
  <c r="G12" i="18"/>
  <c r="E12" i="18"/>
  <c r="C12" i="18"/>
  <c r="G11" i="18"/>
  <c r="E11" i="18"/>
  <c r="C11" i="18"/>
  <c r="G10" i="18"/>
  <c r="E10" i="18"/>
  <c r="C10" i="18"/>
  <c r="G9" i="18"/>
  <c r="E9" i="18"/>
  <c r="C9" i="18"/>
  <c r="G8" i="18"/>
  <c r="E8" i="18"/>
  <c r="C8" i="18"/>
  <c r="G7" i="18"/>
  <c r="E7" i="18"/>
  <c r="C7" i="18"/>
  <c r="G6" i="18"/>
  <c r="E6" i="18"/>
  <c r="C6" i="18"/>
  <c r="G5" i="18"/>
  <c r="E5" i="18"/>
  <c r="C5" i="18"/>
  <c r="G4" i="18"/>
  <c r="E4" i="18"/>
  <c r="C4" i="18"/>
  <c r="G3" i="18"/>
  <c r="E3" i="18"/>
  <c r="C3" i="18"/>
  <c r="G12" i="17"/>
  <c r="E12" i="17"/>
  <c r="C12" i="17"/>
  <c r="B12" i="17" a="1"/>
  <c r="B12" i="17" s="1"/>
  <c r="G11" i="17"/>
  <c r="E11" i="17"/>
  <c r="C11" i="17"/>
  <c r="B11" i="17" a="1"/>
  <c r="B11" i="17" s="1"/>
  <c r="G10" i="17"/>
  <c r="E10" i="17"/>
  <c r="C10" i="17"/>
  <c r="B10" i="17" a="1"/>
  <c r="B10" i="17" s="1"/>
  <c r="G9" i="17"/>
  <c r="E9" i="17"/>
  <c r="C9" i="17"/>
  <c r="B9" i="17" a="1"/>
  <c r="B9" i="17" s="1"/>
  <c r="G8" i="17"/>
  <c r="E8" i="17"/>
  <c r="C8" i="17"/>
  <c r="B8" i="17" a="1"/>
  <c r="B8" i="17" s="1"/>
  <c r="G7" i="17"/>
  <c r="E7" i="17"/>
  <c r="C7" i="17"/>
  <c r="B7" i="17" a="1"/>
  <c r="B7" i="17" s="1"/>
  <c r="G6" i="17"/>
  <c r="E6" i="17"/>
  <c r="C6" i="17"/>
  <c r="B6" i="17" a="1"/>
  <c r="B6" i="17" s="1"/>
  <c r="G5" i="17"/>
  <c r="E5" i="17"/>
  <c r="C5" i="17"/>
  <c r="B5" i="17" a="1"/>
  <c r="B5" i="17" s="1"/>
  <c r="G4" i="17"/>
  <c r="E4" i="17"/>
  <c r="C4" i="17"/>
  <c r="B4" i="17" a="1"/>
  <c r="B4" i="17" s="1"/>
  <c r="G3" i="17"/>
  <c r="E3" i="17"/>
  <c r="C3" i="17"/>
  <c r="B3" i="17" a="1"/>
  <c r="B3" i="17" s="1"/>
  <c r="G12" i="15"/>
  <c r="E12" i="15"/>
  <c r="C12" i="15"/>
  <c r="B12" i="15" a="1"/>
  <c r="B12" i="15" s="1"/>
  <c r="G11" i="15"/>
  <c r="E11" i="15"/>
  <c r="C11" i="15"/>
  <c r="B11" i="15" a="1"/>
  <c r="B11" i="15" s="1"/>
  <c r="G10" i="15"/>
  <c r="E10" i="15"/>
  <c r="C10" i="15"/>
  <c r="B10" i="15" a="1"/>
  <c r="B10" i="15" s="1"/>
  <c r="G9" i="15"/>
  <c r="E9" i="15"/>
  <c r="C9" i="15"/>
  <c r="B9" i="15" a="1"/>
  <c r="B9" i="15" s="1"/>
  <c r="G8" i="15"/>
  <c r="E8" i="15"/>
  <c r="C8" i="15"/>
  <c r="B8" i="15" a="1"/>
  <c r="B8" i="15" s="1"/>
  <c r="G7" i="15"/>
  <c r="E7" i="15"/>
  <c r="C7" i="15"/>
  <c r="B7" i="15" a="1"/>
  <c r="B7" i="15" s="1"/>
  <c r="G6" i="15"/>
  <c r="E6" i="15"/>
  <c r="C6" i="15"/>
  <c r="B6" i="15" a="1"/>
  <c r="B6" i="15" s="1"/>
  <c r="G5" i="15"/>
  <c r="E5" i="15"/>
  <c r="C5" i="15"/>
  <c r="B5" i="15" a="1"/>
  <c r="B5" i="15" s="1"/>
  <c r="G4" i="15"/>
  <c r="E4" i="15"/>
  <c r="C4" i="15"/>
  <c r="B4" i="15" a="1"/>
  <c r="B4" i="15" s="1"/>
  <c r="G3" i="15"/>
  <c r="E3" i="15"/>
  <c r="C3" i="15"/>
  <c r="B3" i="15" a="1"/>
  <c r="B3" i="15" s="1"/>
  <c r="L7" i="1"/>
  <c r="B3" i="9" a="1"/>
  <c r="B3" i="9" s="1"/>
  <c r="G12" i="13"/>
  <c r="E12" i="13"/>
  <c r="C12" i="13"/>
  <c r="B12" i="13" a="1"/>
  <c r="B12" i="13" s="1"/>
  <c r="G11" i="13"/>
  <c r="E11" i="13"/>
  <c r="C11" i="13"/>
  <c r="B11" i="13" a="1"/>
  <c r="B11" i="13" s="1"/>
  <c r="G10" i="13"/>
  <c r="E10" i="13"/>
  <c r="C10" i="13"/>
  <c r="B10" i="13" a="1"/>
  <c r="B10" i="13" s="1"/>
  <c r="G9" i="13"/>
  <c r="E9" i="13"/>
  <c r="C9" i="13"/>
  <c r="B9" i="13" a="1"/>
  <c r="B9" i="13" s="1"/>
  <c r="G8" i="13"/>
  <c r="E8" i="13"/>
  <c r="C8" i="13"/>
  <c r="B8" i="13" a="1"/>
  <c r="B8" i="13" s="1"/>
  <c r="G7" i="13"/>
  <c r="E7" i="13"/>
  <c r="C7" i="13"/>
  <c r="B7" i="13" a="1"/>
  <c r="B7" i="13" s="1"/>
  <c r="G6" i="13"/>
  <c r="E6" i="13"/>
  <c r="C6" i="13"/>
  <c r="B6" i="13" a="1"/>
  <c r="B6" i="13" s="1"/>
  <c r="G5" i="13"/>
  <c r="E5" i="13"/>
  <c r="C5" i="13"/>
  <c r="B5" i="13" a="1"/>
  <c r="B5" i="13" s="1"/>
  <c r="G4" i="13"/>
  <c r="E4" i="13"/>
  <c r="C4" i="13"/>
  <c r="B4" i="13" a="1"/>
  <c r="B4" i="13" s="1"/>
  <c r="G3" i="13"/>
  <c r="E3" i="13"/>
  <c r="C3" i="13"/>
  <c r="B3" i="13" a="1"/>
  <c r="B3" i="13" s="1"/>
  <c r="G12" i="12"/>
  <c r="E12" i="12"/>
  <c r="C12" i="12"/>
  <c r="B12" i="12" a="1"/>
  <c r="B12" i="12" s="1"/>
  <c r="G11" i="12"/>
  <c r="E11" i="12"/>
  <c r="C11" i="12"/>
  <c r="B11" i="12" a="1"/>
  <c r="B11" i="12" s="1"/>
  <c r="G10" i="12"/>
  <c r="E10" i="12"/>
  <c r="C10" i="12"/>
  <c r="B10" i="12" a="1"/>
  <c r="B10" i="12" s="1"/>
  <c r="G9" i="12"/>
  <c r="E9" i="12"/>
  <c r="C9" i="12"/>
  <c r="B9" i="12" a="1"/>
  <c r="B9" i="12" s="1"/>
  <c r="G8" i="12"/>
  <c r="E8" i="12"/>
  <c r="C8" i="12"/>
  <c r="B8" i="12" a="1"/>
  <c r="B8" i="12" s="1"/>
  <c r="G7" i="12"/>
  <c r="E7" i="12"/>
  <c r="C7" i="12"/>
  <c r="B7" i="12" a="1"/>
  <c r="B7" i="12" s="1"/>
  <c r="G6" i="12"/>
  <c r="E6" i="12"/>
  <c r="C6" i="12"/>
  <c r="B6" i="12" a="1"/>
  <c r="B6" i="12" s="1"/>
  <c r="G5" i="12"/>
  <c r="E5" i="12"/>
  <c r="C5" i="12"/>
  <c r="B5" i="12" a="1"/>
  <c r="B5" i="12" s="1"/>
  <c r="G4" i="12"/>
  <c r="E4" i="12"/>
  <c r="C4" i="12"/>
  <c r="B4" i="12" a="1"/>
  <c r="B4" i="12" s="1"/>
  <c r="G3" i="12"/>
  <c r="E3" i="12"/>
  <c r="C3" i="12"/>
  <c r="B3" i="12" a="1"/>
  <c r="B3" i="12" s="1"/>
  <c r="G12" i="11"/>
  <c r="E12" i="11"/>
  <c r="C12" i="11"/>
  <c r="B12" i="11" a="1"/>
  <c r="B12" i="11" s="1"/>
  <c r="G11" i="11"/>
  <c r="E11" i="11"/>
  <c r="C11" i="11"/>
  <c r="B11" i="11" a="1"/>
  <c r="B11" i="11" s="1"/>
  <c r="G10" i="11"/>
  <c r="E10" i="11"/>
  <c r="C10" i="11"/>
  <c r="B10" i="11" a="1"/>
  <c r="B10" i="11" s="1"/>
  <c r="G9" i="11"/>
  <c r="E9" i="11"/>
  <c r="C9" i="11"/>
  <c r="B9" i="11" a="1"/>
  <c r="B9" i="11" s="1"/>
  <c r="G8" i="11"/>
  <c r="E8" i="11"/>
  <c r="C8" i="11"/>
  <c r="B8" i="11" a="1"/>
  <c r="B8" i="11" s="1"/>
  <c r="G7" i="11"/>
  <c r="E7" i="11"/>
  <c r="C7" i="11"/>
  <c r="B7" i="11" a="1"/>
  <c r="B7" i="11" s="1"/>
  <c r="G6" i="11"/>
  <c r="E6" i="11"/>
  <c r="C6" i="11"/>
  <c r="B6" i="11" a="1"/>
  <c r="B6" i="11" s="1"/>
  <c r="G5" i="11"/>
  <c r="E5" i="11"/>
  <c r="C5" i="11"/>
  <c r="B5" i="11" a="1"/>
  <c r="B5" i="11" s="1"/>
  <c r="G4" i="11"/>
  <c r="E4" i="11"/>
  <c r="C4" i="11"/>
  <c r="B4" i="11" a="1"/>
  <c r="B4" i="11" s="1"/>
  <c r="G3" i="11"/>
  <c r="E3" i="11"/>
  <c r="C3" i="11"/>
  <c r="B3" i="11" a="1"/>
  <c r="B3" i="11" s="1"/>
  <c r="G12" i="9"/>
  <c r="E12" i="9"/>
  <c r="C12" i="9"/>
  <c r="B12" i="9" a="1"/>
  <c r="B12" i="9" s="1"/>
  <c r="G11" i="9"/>
  <c r="E11" i="9"/>
  <c r="C11" i="9"/>
  <c r="B11" i="9" a="1"/>
  <c r="B11" i="9" s="1"/>
  <c r="G10" i="9"/>
  <c r="E10" i="9"/>
  <c r="C10" i="9"/>
  <c r="B10" i="9" a="1"/>
  <c r="B10" i="9" s="1"/>
  <c r="G9" i="9"/>
  <c r="E9" i="9"/>
  <c r="C9" i="9"/>
  <c r="B9" i="9" a="1"/>
  <c r="B9" i="9" s="1"/>
  <c r="G8" i="9"/>
  <c r="E8" i="9"/>
  <c r="C8" i="9"/>
  <c r="B8" i="9" a="1"/>
  <c r="B8" i="9" s="1"/>
  <c r="G7" i="9"/>
  <c r="E7" i="9"/>
  <c r="C7" i="9"/>
  <c r="B7" i="9" a="1"/>
  <c r="B7" i="9" s="1"/>
  <c r="G6" i="9"/>
  <c r="E6" i="9"/>
  <c r="C6" i="9"/>
  <c r="B6" i="9" a="1"/>
  <c r="B6" i="9" s="1"/>
  <c r="G5" i="9"/>
  <c r="E5" i="9"/>
  <c r="C5" i="9"/>
  <c r="B5" i="9" a="1"/>
  <c r="B5" i="9" s="1"/>
  <c r="G4" i="9"/>
  <c r="E4" i="9"/>
  <c r="C4" i="9"/>
  <c r="B4" i="9" a="1"/>
  <c r="B4" i="9" s="1"/>
  <c r="G3" i="9"/>
  <c r="E3" i="9"/>
  <c r="C3" i="9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G4" i="2"/>
  <c r="G5" i="2"/>
  <c r="G6" i="2"/>
  <c r="G7" i="2"/>
  <c r="G8" i="2"/>
  <c r="G9" i="2"/>
  <c r="G10" i="2"/>
  <c r="G11" i="2"/>
  <c r="G12" i="2"/>
  <c r="G3" i="2"/>
  <c r="E4" i="2"/>
  <c r="E5" i="2"/>
  <c r="E6" i="2"/>
  <c r="E7" i="2"/>
  <c r="E8" i="2"/>
  <c r="E9" i="2"/>
  <c r="E10" i="2"/>
  <c r="E11" i="2"/>
  <c r="E12" i="2"/>
  <c r="E3" i="2"/>
  <c r="C5" i="2"/>
  <c r="C6" i="2"/>
  <c r="C7" i="2"/>
  <c r="C8" i="2"/>
  <c r="C9" i="2"/>
  <c r="C10" i="2"/>
  <c r="C11" i="2"/>
  <c r="C12" i="2"/>
  <c r="C4" i="2"/>
  <c r="C3" i="2"/>
  <c r="L3" i="1"/>
  <c r="L4" i="1"/>
  <c r="L5" i="1"/>
  <c r="L6" i="1"/>
  <c r="L2" i="1"/>
  <c r="H5" i="22" l="1"/>
  <c r="F5" i="22"/>
  <c r="D5" i="22"/>
  <c r="H9" i="22"/>
  <c r="F9" i="22"/>
  <c r="D9" i="22"/>
  <c r="F10" i="22"/>
  <c r="D10" i="22"/>
  <c r="H10" i="22"/>
  <c r="H3" i="22"/>
  <c r="F3" i="22"/>
  <c r="D3" i="22"/>
  <c r="B13" i="22"/>
  <c r="F4" i="22"/>
  <c r="D4" i="22"/>
  <c r="H4" i="22"/>
  <c r="D8" i="22"/>
  <c r="F8" i="22"/>
  <c r="H8" i="22"/>
  <c r="D12" i="22"/>
  <c r="H12" i="22"/>
  <c r="F12" i="22"/>
  <c r="F6" i="22"/>
  <c r="D6" i="22"/>
  <c r="H6" i="22"/>
  <c r="H11" i="22"/>
  <c r="F11" i="22"/>
  <c r="D11" i="22"/>
  <c r="H7" i="22"/>
  <c r="F7" i="22"/>
  <c r="D7" i="22"/>
  <c r="H5" i="21"/>
  <c r="F5" i="21"/>
  <c r="D5" i="21"/>
  <c r="F6" i="21"/>
  <c r="D6" i="21"/>
  <c r="H6" i="21"/>
  <c r="H11" i="21"/>
  <c r="F11" i="21"/>
  <c r="D11" i="21"/>
  <c r="H7" i="21"/>
  <c r="D7" i="21"/>
  <c r="F7" i="21"/>
  <c r="F4" i="21"/>
  <c r="D4" i="21"/>
  <c r="H4" i="21"/>
  <c r="D12" i="21"/>
  <c r="F12" i="21"/>
  <c r="H12" i="21"/>
  <c r="H3" i="21"/>
  <c r="F3" i="21"/>
  <c r="D3" i="21"/>
  <c r="B13" i="21"/>
  <c r="H9" i="21"/>
  <c r="D9" i="21"/>
  <c r="F9" i="21"/>
  <c r="F8" i="21"/>
  <c r="D8" i="21"/>
  <c r="H8" i="21"/>
  <c r="F10" i="21"/>
  <c r="H10" i="21"/>
  <c r="D10" i="21"/>
  <c r="D13" i="20"/>
  <c r="F13" i="20"/>
  <c r="H13" i="20"/>
  <c r="H14" i="20" s="1"/>
  <c r="H5" i="18"/>
  <c r="F5" i="18"/>
  <c r="D5" i="18"/>
  <c r="H6" i="18"/>
  <c r="F6" i="18"/>
  <c r="D6" i="18"/>
  <c r="H12" i="18"/>
  <c r="F12" i="18"/>
  <c r="D12" i="18"/>
  <c r="H10" i="18"/>
  <c r="F10" i="18"/>
  <c r="D10" i="18"/>
  <c r="H7" i="18"/>
  <c r="F7" i="18"/>
  <c r="D7" i="18"/>
  <c r="H9" i="18"/>
  <c r="F9" i="18"/>
  <c r="D9" i="18"/>
  <c r="D3" i="18"/>
  <c r="F3" i="18"/>
  <c r="B13" i="18"/>
  <c r="H3" i="18"/>
  <c r="H4" i="18"/>
  <c r="F4" i="18"/>
  <c r="D4" i="18"/>
  <c r="H11" i="18"/>
  <c r="F11" i="18"/>
  <c r="D11" i="18"/>
  <c r="H8" i="18"/>
  <c r="F8" i="18"/>
  <c r="D8" i="18"/>
  <c r="D5" i="17"/>
  <c r="F5" i="17"/>
  <c r="H5" i="17"/>
  <c r="H6" i="17"/>
  <c r="F6" i="17"/>
  <c r="D6" i="17"/>
  <c r="H4" i="17"/>
  <c r="F4" i="17"/>
  <c r="D4" i="17"/>
  <c r="D7" i="17"/>
  <c r="H7" i="17"/>
  <c r="F7" i="17"/>
  <c r="H10" i="17"/>
  <c r="F10" i="17"/>
  <c r="D10" i="17"/>
  <c r="D11" i="17"/>
  <c r="H11" i="17"/>
  <c r="F11" i="17"/>
  <c r="H12" i="17"/>
  <c r="F12" i="17"/>
  <c r="D12" i="17"/>
  <c r="D9" i="17"/>
  <c r="H9" i="17"/>
  <c r="F9" i="17"/>
  <c r="D3" i="17"/>
  <c r="B13" i="17"/>
  <c r="H3" i="17"/>
  <c r="F3" i="17"/>
  <c r="H8" i="17"/>
  <c r="F8" i="17"/>
  <c r="D8" i="17"/>
  <c r="D5" i="15"/>
  <c r="H5" i="15"/>
  <c r="F5" i="15"/>
  <c r="H10" i="15"/>
  <c r="F10" i="15"/>
  <c r="D10" i="15"/>
  <c r="D7" i="15"/>
  <c r="H7" i="15"/>
  <c r="F7" i="15"/>
  <c r="H6" i="15"/>
  <c r="D6" i="15"/>
  <c r="F6" i="15"/>
  <c r="H4" i="15"/>
  <c r="F4" i="15"/>
  <c r="D4" i="15"/>
  <c r="D9" i="15"/>
  <c r="H9" i="15"/>
  <c r="F9" i="15"/>
  <c r="D11" i="15"/>
  <c r="F11" i="15"/>
  <c r="H11" i="15"/>
  <c r="H8" i="15"/>
  <c r="F8" i="15"/>
  <c r="D8" i="15"/>
  <c r="D3" i="15"/>
  <c r="H3" i="15"/>
  <c r="F3" i="15"/>
  <c r="B13" i="15"/>
  <c r="H12" i="15"/>
  <c r="F12" i="15"/>
  <c r="D12" i="15"/>
  <c r="D5" i="13"/>
  <c r="H5" i="13"/>
  <c r="F5" i="13"/>
  <c r="H4" i="13"/>
  <c r="F4" i="13"/>
  <c r="D4" i="13"/>
  <c r="D9" i="13"/>
  <c r="H9" i="13"/>
  <c r="F9" i="13"/>
  <c r="H10" i="13"/>
  <c r="D10" i="13"/>
  <c r="F10" i="13"/>
  <c r="D3" i="13"/>
  <c r="H3" i="13"/>
  <c r="B13" i="13"/>
  <c r="F3" i="13"/>
  <c r="D7" i="13"/>
  <c r="H7" i="13"/>
  <c r="F7" i="13"/>
  <c r="H12" i="13"/>
  <c r="F12" i="13"/>
  <c r="D12" i="13"/>
  <c r="D6" i="13"/>
  <c r="H6" i="13"/>
  <c r="F6" i="13"/>
  <c r="D11" i="13"/>
  <c r="F11" i="13"/>
  <c r="H11" i="13"/>
  <c r="H8" i="13"/>
  <c r="F8" i="13"/>
  <c r="D8" i="13"/>
  <c r="D9" i="12"/>
  <c r="F9" i="12"/>
  <c r="H9" i="12"/>
  <c r="D5" i="12"/>
  <c r="H5" i="12"/>
  <c r="F5" i="12"/>
  <c r="H10" i="12"/>
  <c r="F10" i="12"/>
  <c r="D10" i="12"/>
  <c r="D3" i="12"/>
  <c r="B13" i="12"/>
  <c r="F3" i="12"/>
  <c r="H3" i="12"/>
  <c r="H6" i="12"/>
  <c r="F6" i="12"/>
  <c r="D6" i="12"/>
  <c r="D7" i="12"/>
  <c r="H7" i="12"/>
  <c r="F7" i="12"/>
  <c r="H8" i="12"/>
  <c r="F8" i="12"/>
  <c r="D8" i="12"/>
  <c r="D11" i="12"/>
  <c r="H11" i="12"/>
  <c r="F11" i="12"/>
  <c r="F4" i="12"/>
  <c r="H4" i="12"/>
  <c r="D4" i="12"/>
  <c r="H12" i="12"/>
  <c r="F12" i="12"/>
  <c r="D12" i="12"/>
  <c r="D9" i="11"/>
  <c r="H9" i="11"/>
  <c r="F9" i="11"/>
  <c r="H10" i="11"/>
  <c r="F10" i="11"/>
  <c r="D10" i="11"/>
  <c r="D3" i="11"/>
  <c r="B13" i="11"/>
  <c r="F3" i="11"/>
  <c r="H3" i="11"/>
  <c r="D5" i="11"/>
  <c r="H5" i="11"/>
  <c r="F5" i="11"/>
  <c r="H6" i="11"/>
  <c r="F6" i="11"/>
  <c r="D6" i="11"/>
  <c r="D7" i="11"/>
  <c r="H7" i="11"/>
  <c r="F7" i="11"/>
  <c r="H12" i="11"/>
  <c r="F12" i="11"/>
  <c r="D12" i="11"/>
  <c r="D11" i="11"/>
  <c r="H11" i="11"/>
  <c r="F11" i="11"/>
  <c r="H4" i="11"/>
  <c r="F4" i="11"/>
  <c r="D4" i="11"/>
  <c r="H8" i="11"/>
  <c r="F8" i="11"/>
  <c r="D8" i="11"/>
  <c r="D9" i="9"/>
  <c r="F9" i="9"/>
  <c r="H9" i="9"/>
  <c r="H10" i="9"/>
  <c r="F10" i="9"/>
  <c r="D10" i="9"/>
  <c r="D3" i="9"/>
  <c r="F3" i="9"/>
  <c r="B13" i="9"/>
  <c r="H3" i="9"/>
  <c r="D11" i="9"/>
  <c r="F11" i="9"/>
  <c r="H11" i="9"/>
  <c r="H4" i="9"/>
  <c r="F4" i="9"/>
  <c r="D4" i="9"/>
  <c r="H12" i="9"/>
  <c r="F12" i="9"/>
  <c r="D12" i="9"/>
  <c r="D5" i="9"/>
  <c r="F5" i="9"/>
  <c r="H5" i="9"/>
  <c r="H6" i="9"/>
  <c r="D6" i="9"/>
  <c r="F6" i="9"/>
  <c r="D7" i="9"/>
  <c r="H7" i="9"/>
  <c r="F7" i="9"/>
  <c r="H8" i="9"/>
  <c r="D8" i="9"/>
  <c r="F8" i="9"/>
  <c r="D11" i="2"/>
  <c r="D12" i="2"/>
  <c r="F9" i="2"/>
  <c r="D9" i="2"/>
  <c r="D10" i="2"/>
  <c r="F10" i="2"/>
  <c r="F8" i="2"/>
  <c r="H8" i="2"/>
  <c r="D8" i="2"/>
  <c r="H7" i="2"/>
  <c r="D7" i="2"/>
  <c r="F7" i="2"/>
  <c r="H6" i="2"/>
  <c r="F6" i="2"/>
  <c r="D6" i="2"/>
  <c r="F5" i="2"/>
  <c r="H5" i="2"/>
  <c r="D5" i="2"/>
  <c r="D4" i="2"/>
  <c r="H4" i="2"/>
  <c r="F4" i="2"/>
  <c r="H12" i="2"/>
  <c r="H11" i="2"/>
  <c r="H9" i="2"/>
  <c r="H10" i="2"/>
  <c r="F12" i="2"/>
  <c r="F11" i="2"/>
  <c r="D3" i="2"/>
  <c r="F3" i="2"/>
  <c r="B13" i="2"/>
  <c r="H3" i="2"/>
  <c r="M2" i="1"/>
  <c r="F13" i="22" l="1"/>
  <c r="D13" i="22"/>
  <c r="H13" i="22"/>
  <c r="H14" i="22" s="1"/>
  <c r="H13" i="21"/>
  <c r="H14" i="21" s="1"/>
  <c r="D13" i="21"/>
  <c r="F13" i="21"/>
  <c r="D15" i="20"/>
  <c r="F14" i="20"/>
  <c r="H15" i="20"/>
  <c r="F15" i="20"/>
  <c r="D14" i="20"/>
  <c r="D13" i="18"/>
  <c r="F13" i="18"/>
  <c r="H13" i="18"/>
  <c r="H14" i="18" s="1"/>
  <c r="D13" i="17"/>
  <c r="D14" i="17" s="1"/>
  <c r="H13" i="17"/>
  <c r="H14" i="17" s="1"/>
  <c r="F13" i="17"/>
  <c r="F13" i="15"/>
  <c r="F14" i="15" s="1"/>
  <c r="H13" i="15"/>
  <c r="H14" i="15" s="1"/>
  <c r="D13" i="15"/>
  <c r="D14" i="15" s="1"/>
  <c r="H13" i="13"/>
  <c r="H14" i="13" s="1"/>
  <c r="F13" i="13"/>
  <c r="F14" i="13" s="1"/>
  <c r="F13" i="12"/>
  <c r="F14" i="12" s="1"/>
  <c r="D13" i="13"/>
  <c r="D14" i="13" s="1"/>
  <c r="H13" i="12"/>
  <c r="H14" i="12" s="1"/>
  <c r="D13" i="12"/>
  <c r="D14" i="12" s="1"/>
  <c r="H13" i="11"/>
  <c r="H14" i="11" s="1"/>
  <c r="D13" i="11"/>
  <c r="D14" i="11" s="1"/>
  <c r="F13" i="11"/>
  <c r="F14" i="11" s="1"/>
  <c r="D13" i="9"/>
  <c r="D14" i="9" s="1"/>
  <c r="F13" i="9"/>
  <c r="F14" i="9" s="1"/>
  <c r="H13" i="9"/>
  <c r="H14" i="9" s="1"/>
  <c r="D13" i="2"/>
  <c r="D14" i="2" s="1"/>
  <c r="H13" i="2"/>
  <c r="H14" i="2" s="1"/>
  <c r="F13" i="2"/>
  <c r="F14" i="2" s="1"/>
  <c r="H15" i="22" l="1"/>
  <c r="F15" i="22"/>
  <c r="D14" i="22"/>
  <c r="D15" i="22"/>
  <c r="F14" i="22"/>
  <c r="H15" i="21"/>
  <c r="F15" i="21"/>
  <c r="D14" i="21"/>
  <c r="D15" i="21"/>
  <c r="F14" i="21"/>
  <c r="D15" i="18"/>
  <c r="F14" i="18"/>
  <c r="H15" i="18"/>
  <c r="F15" i="18"/>
  <c r="D14" i="18"/>
  <c r="D15" i="17"/>
  <c r="F14" i="17"/>
  <c r="D15" i="11"/>
  <c r="D15" i="2"/>
  <c r="H15" i="9"/>
  <c r="F15" i="9"/>
  <c r="H15" i="12"/>
  <c r="F15" i="12"/>
  <c r="H15" i="13"/>
  <c r="F15" i="13"/>
  <c r="D15" i="12"/>
  <c r="D15" i="13"/>
  <c r="H15" i="15"/>
  <c r="F15" i="15"/>
  <c r="H15" i="11"/>
  <c r="F15" i="11"/>
  <c r="D15" i="15"/>
  <c r="H15" i="2"/>
  <c r="F15" i="2"/>
  <c r="D15" i="9"/>
  <c r="H15" i="17"/>
  <c r="F1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<sst xmlns="http://schemas.openxmlformats.org/spreadsheetml/2006/main" count="307" uniqueCount="29">
  <si>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</si>
  <si>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</si>
  <si>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</si>
  <si>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</si>
  <si>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</si>
  <si>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</si>
  <si>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</si>
  <si>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</si>
  <si>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</si>
  <si>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</si>
  <si>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Hybrid-/Multi-Cloud-Fähigkeit</t>
  </si>
  <si>
    <t>Gewichtung</t>
  </si>
  <si>
    <t>Nutanix</t>
  </si>
  <si>
    <t>Summe</t>
  </si>
  <si>
    <t>Rang</t>
  </si>
  <si>
    <t>Unified Storage</t>
  </si>
  <si>
    <t>Mittel</t>
  </si>
  <si>
    <t>Proxmox mit Ceph</t>
  </si>
  <si>
    <t>Szenario:</t>
  </si>
  <si>
    <t>#</t>
  </si>
  <si>
    <t>Benutzerfreundlichkeit</t>
  </si>
  <si>
    <t>VMware/Broadcom</t>
  </si>
  <si>
    <t>Score</t>
  </si>
  <si>
    <t>Bewertung</t>
  </si>
  <si>
    <t>Normiert (0-100)</t>
  </si>
  <si>
    <t>Kommentar</t>
  </si>
  <si>
    <t>Alle Kriterien in Nutzung</t>
  </si>
  <si>
    <t>In dieser Tabelle bekommen alle Nutzwertanalysen, welche nicht alle Kirterien nutzen, eine eigenes gleichgewichtetets Referenzszenario.</t>
  </si>
  <si>
    <t>Ausgeschlossenes Kriterium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</si>
</sst>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3" borderId="1" xfId="1" applyBorder="1" applyAlignment="1">
      <alignment vertical="center" wrapText="1"/>
    </xf>
    <xf numFmtId="0" fontId="3" fillId="3" borderId="0" xfId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N12"/>
  <sheetViews>
    <sheetView tabSelected="1" zoomScale="160" zoomScaleNormal="160" workbookViewId="0">
      <selection activeCell="A14" sqref="A14"/>
    </sheetView>
  </sheetViews>
  <sheetFormatPr baseColWidth="10" defaultRowHeight="15" x14ac:dyDescent="0.25"/>
  <cols>
    <col min="14" max="14" width="22.28515625" bestFit="1" customWidth="1"/>
  </cols>
  <sheetData>
    <row r="1" spans="1:14" ht="45.75" thickBot="1" x14ac:dyDescent="0.3">
      <c r="A1" s="7" t="s">
        <v>0</v>
      </c>
      <c r="B1" s="7" t="s">
        <v>1</v>
      </c>
      <c r="C1" s="7" t="s">
        <v>7</v>
      </c>
      <c r="D1" s="7" t="s">
        <v>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15</v>
      </c>
      <c r="J1" s="7" t="s">
        <v>20</v>
      </c>
      <c r="K1" s="7" t="s">
        <v>6</v>
      </c>
      <c r="L1" s="4" t="s">
        <v>13</v>
      </c>
      <c r="M1" s="4" t="s">
        <v>16</v>
      </c>
      <c r="N1" s="4" t="s">
        <v>25</v>
      </c>
    </row>
    <row r="2" spans="1:14" ht="15.75" thickBot="1" x14ac:dyDescent="0.3">
      <c r="A2" s="7">
        <v>1</v>
      </c>
      <c r="B2" s="1">
        <v>50</v>
      </c>
      <c r="C2" s="1">
        <v>5</v>
      </c>
      <c r="D2" s="15">
        <v>0</v>
      </c>
      <c r="E2" s="1">
        <v>15</v>
      </c>
      <c r="F2" s="1">
        <v>10</v>
      </c>
      <c r="G2" s="15">
        <v>0</v>
      </c>
      <c r="H2" s="1">
        <v>5</v>
      </c>
      <c r="I2" s="15">
        <v>0</v>
      </c>
      <c r="J2" s="1">
        <v>10</v>
      </c>
      <c r="K2" s="1">
        <v>5</v>
      </c>
      <c r="L2" s="4">
        <f t="shared" ref="L2:L7" si="0">SUM(B2:K2)</f>
        <v>100</v>
      </c>
      <c r="M2" s="11">
        <f>AVERAGE(L2:L6)</f>
        <v>100</v>
      </c>
    </row>
    <row r="3" spans="1:14" ht="15.75" thickBot="1" x14ac:dyDescent="0.3">
      <c r="A3" s="7">
        <v>2</v>
      </c>
      <c r="B3" s="1">
        <v>15</v>
      </c>
      <c r="C3" s="1">
        <v>10</v>
      </c>
      <c r="D3" s="1">
        <v>15</v>
      </c>
      <c r="E3" s="1">
        <v>5</v>
      </c>
      <c r="F3" s="1">
        <v>15</v>
      </c>
      <c r="G3" s="1">
        <v>15</v>
      </c>
      <c r="H3" s="1">
        <v>5</v>
      </c>
      <c r="I3" s="15">
        <v>0</v>
      </c>
      <c r="J3" s="1">
        <v>15</v>
      </c>
      <c r="K3" s="1">
        <v>5</v>
      </c>
      <c r="L3" s="4">
        <f t="shared" si="0"/>
        <v>100</v>
      </c>
      <c r="M3" s="12"/>
    </row>
    <row r="4" spans="1:14" ht="15.75" thickBot="1" x14ac:dyDescent="0.3">
      <c r="A4" s="7">
        <v>3</v>
      </c>
      <c r="B4" s="1">
        <v>15</v>
      </c>
      <c r="C4" s="1">
        <v>10</v>
      </c>
      <c r="D4" s="1">
        <v>15</v>
      </c>
      <c r="E4" s="1">
        <v>5</v>
      </c>
      <c r="F4" s="1">
        <v>5</v>
      </c>
      <c r="G4" s="15">
        <v>0</v>
      </c>
      <c r="H4" s="1">
        <v>15</v>
      </c>
      <c r="I4" s="1">
        <v>15</v>
      </c>
      <c r="J4" s="1">
        <v>15</v>
      </c>
      <c r="K4" s="1">
        <v>5</v>
      </c>
      <c r="L4" s="4">
        <f t="shared" si="0"/>
        <v>100</v>
      </c>
      <c r="M4" s="12"/>
    </row>
    <row r="5" spans="1:14" ht="15.75" thickBot="1" x14ac:dyDescent="0.3">
      <c r="A5" s="7">
        <v>4</v>
      </c>
      <c r="B5" s="1">
        <v>10</v>
      </c>
      <c r="C5" s="1">
        <v>10</v>
      </c>
      <c r="D5" s="1">
        <v>10</v>
      </c>
      <c r="E5" s="1">
        <v>10</v>
      </c>
      <c r="F5" s="1">
        <v>15</v>
      </c>
      <c r="G5" s="15">
        <v>0</v>
      </c>
      <c r="H5" s="1">
        <v>15</v>
      </c>
      <c r="I5" s="1">
        <v>15</v>
      </c>
      <c r="J5" s="1">
        <v>10</v>
      </c>
      <c r="K5" s="1">
        <v>5</v>
      </c>
      <c r="L5" s="4">
        <f t="shared" si="0"/>
        <v>100</v>
      </c>
      <c r="M5" s="12"/>
    </row>
    <row r="6" spans="1:14" x14ac:dyDescent="0.25">
      <c r="A6" s="8">
        <v>5</v>
      </c>
      <c r="B6" s="9">
        <v>5</v>
      </c>
      <c r="C6" s="9">
        <v>15</v>
      </c>
      <c r="D6" s="9">
        <v>10</v>
      </c>
      <c r="E6" s="9">
        <v>10</v>
      </c>
      <c r="F6" s="9">
        <v>15</v>
      </c>
      <c r="G6" s="9">
        <v>15</v>
      </c>
      <c r="H6" s="9">
        <v>10</v>
      </c>
      <c r="I6" s="9">
        <v>5</v>
      </c>
      <c r="J6" s="9">
        <v>5</v>
      </c>
      <c r="K6" s="9">
        <v>10</v>
      </c>
      <c r="L6" s="4">
        <f t="shared" si="0"/>
        <v>100</v>
      </c>
      <c r="M6" s="12"/>
      <c r="N6" t="s">
        <v>26</v>
      </c>
    </row>
    <row r="7" spans="1:14" x14ac:dyDescent="0.25">
      <c r="A7" s="7">
        <v>0</v>
      </c>
      <c r="B7" s="10">
        <v>10</v>
      </c>
      <c r="C7" s="10">
        <v>10</v>
      </c>
      <c r="D7" s="10">
        <v>10</v>
      </c>
      <c r="E7" s="10">
        <v>10</v>
      </c>
      <c r="F7" s="10">
        <v>10</v>
      </c>
      <c r="G7" s="10">
        <v>10</v>
      </c>
      <c r="H7" s="10">
        <v>10</v>
      </c>
      <c r="I7" s="10">
        <v>10</v>
      </c>
      <c r="J7" s="10">
        <v>10</v>
      </c>
      <c r="K7" s="10">
        <v>10</v>
      </c>
      <c r="L7" s="4">
        <f t="shared" si="0"/>
        <v>100</v>
      </c>
      <c r="M7" s="13"/>
    </row>
    <row r="9" spans="1:14" x14ac:dyDescent="0.25">
      <c r="A9" s="16" t="s">
        <v>28</v>
      </c>
      <c r="B9" s="16"/>
      <c r="C9" s="16"/>
    </row>
    <row r="12" spans="1:14" x14ac:dyDescent="0.25">
      <c r="A12" t="s">
        <v>27</v>
      </c>
    </row>
  </sheetData>
  <mergeCells count="1">
    <mergeCell ref="M2:M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12"/>
  <sheetViews>
    <sheetView zoomScale="160" zoomScaleNormal="160" workbookViewId="0">
      <selection activeCell="H13" sqref="H13"/>
    </sheetView>
  </sheetViews>
  <sheetFormatPr baseColWidth="10" defaultRowHeight="15" x14ac:dyDescent="0.25"/>
  <cols>
    <col min="1" max="1" width="27.85546875" bestFit="1" customWidth="1"/>
    <col min="2" max="2" width="19.140625" bestFit="1" customWidth="1"/>
    <col min="4" max="4" width="19" bestFit="1" customWidth="1"/>
  </cols>
  <sheetData>
    <row r="1" spans="1:4" x14ac:dyDescent="0.25">
      <c r="A1" s="5" t="s">
        <v>9</v>
      </c>
      <c r="B1" s="5" t="s">
        <v>21</v>
      </c>
      <c r="C1" s="5" t="s">
        <v>12</v>
      </c>
      <c r="D1" s="5" t="s">
        <v>17</v>
      </c>
    </row>
    <row r="2" spans="1:4" x14ac:dyDescent="0.25">
      <c r="A2" s="3" t="s">
        <v>1</v>
      </c>
      <c r="B2" s="3">
        <v>1</v>
      </c>
      <c r="C2" s="3">
        <v>2</v>
      </c>
      <c r="D2" s="3">
        <v>3</v>
      </c>
    </row>
    <row r="3" spans="1:4" x14ac:dyDescent="0.25">
      <c r="A3" s="3" t="s">
        <v>7</v>
      </c>
      <c r="B3" s="3">
        <v>3</v>
      </c>
      <c r="C3" s="3">
        <v>3</v>
      </c>
      <c r="D3" s="3">
        <v>1</v>
      </c>
    </row>
    <row r="4" spans="1:4" x14ac:dyDescent="0.25">
      <c r="A4" s="3" t="s">
        <v>8</v>
      </c>
      <c r="B4" s="3">
        <v>1</v>
      </c>
      <c r="C4" s="3">
        <v>3</v>
      </c>
      <c r="D4" s="3">
        <v>2</v>
      </c>
    </row>
    <row r="5" spans="1:4" x14ac:dyDescent="0.25">
      <c r="A5" s="3" t="s">
        <v>2</v>
      </c>
      <c r="B5" s="3">
        <v>3</v>
      </c>
      <c r="C5" s="3">
        <v>3</v>
      </c>
      <c r="D5" s="3">
        <v>3</v>
      </c>
    </row>
    <row r="6" spans="1:4" x14ac:dyDescent="0.25">
      <c r="A6" s="3" t="s">
        <v>3</v>
      </c>
      <c r="B6" s="3">
        <v>3</v>
      </c>
      <c r="C6" s="3">
        <v>2</v>
      </c>
      <c r="D6" s="3">
        <v>2</v>
      </c>
    </row>
    <row r="7" spans="1:4" x14ac:dyDescent="0.25">
      <c r="A7" s="3" t="s">
        <v>10</v>
      </c>
      <c r="B7" s="3">
        <v>3</v>
      </c>
      <c r="C7" s="3">
        <v>2</v>
      </c>
      <c r="D7" s="3">
        <v>1</v>
      </c>
    </row>
    <row r="8" spans="1:4" x14ac:dyDescent="0.25">
      <c r="A8" s="3" t="s">
        <v>5</v>
      </c>
      <c r="B8" s="3">
        <v>2</v>
      </c>
      <c r="C8" s="3">
        <v>3</v>
      </c>
      <c r="D8" s="3">
        <v>1</v>
      </c>
    </row>
    <row r="9" spans="1:4" x14ac:dyDescent="0.25">
      <c r="A9" s="3" t="s">
        <v>15</v>
      </c>
      <c r="B9" s="3">
        <v>2</v>
      </c>
      <c r="C9" s="3">
        <v>3</v>
      </c>
      <c r="D9" s="3">
        <v>1</v>
      </c>
    </row>
    <row r="10" spans="1:4" x14ac:dyDescent="0.25">
      <c r="A10" s="3" t="s">
        <v>20</v>
      </c>
      <c r="B10" s="3">
        <v>3</v>
      </c>
      <c r="C10" s="3">
        <v>1</v>
      </c>
      <c r="D10" s="3">
        <v>2</v>
      </c>
    </row>
    <row r="11" spans="1:4" x14ac:dyDescent="0.25">
      <c r="A11" s="3" t="s">
        <v>6</v>
      </c>
      <c r="B11" s="3">
        <v>3</v>
      </c>
      <c r="C11" s="3">
        <v>1</v>
      </c>
      <c r="D11" s="3">
        <v>2</v>
      </c>
    </row>
    <row r="12" spans="1:4" x14ac:dyDescent="0.25">
      <c r="A12" s="2"/>
      <c r="B12" s="2"/>
      <c r="C12" s="2"/>
      <c r="D12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16"/>
  <sheetViews>
    <sheetView zoomScale="160" zoomScaleNormal="160" workbookViewId="0">
      <selection activeCell="A21" sqref="A21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 t="s">
        <v>19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t="e" cm="1">
        <f t="array" ref="B3">INDEX(Szenarien!B:K, $B$1+1, 1)</f>
        <v>#VALUE!</v>
      </c>
      <c r="C3" s="3">
        <f>Lösungen!B2</f>
        <v>1</v>
      </c>
      <c r="D3" s="3" t="e">
        <f>PRODUCT(B3,C3)</f>
        <v>#VALUE!</v>
      </c>
      <c r="E3" s="3">
        <f>Lösungen!C2</f>
        <v>2</v>
      </c>
      <c r="F3" s="3" t="e">
        <f>PRODUCT(B3,E3)</f>
        <v>#VALUE!</v>
      </c>
      <c r="G3" s="3">
        <f>Lösungen!D2</f>
        <v>3</v>
      </c>
      <c r="H3" s="3" t="e">
        <f>PRODUCT(B3,G3)</f>
        <v>#VALUE!</v>
      </c>
    </row>
    <row r="4" spans="1:8" x14ac:dyDescent="0.25">
      <c r="A4" s="3" t="s">
        <v>7</v>
      </c>
      <c r="B4" s="3" t="e" cm="1">
        <f t="array" ref="B4">INDEX(Szenarien!B:K, $B$1+1, 2)</f>
        <v>#VALUE!</v>
      </c>
      <c r="C4" s="3">
        <f>Lösungen!B3</f>
        <v>3</v>
      </c>
      <c r="D4" s="3" t="e">
        <f>PRODUCT(B4,C4)</f>
        <v>#VALUE!</v>
      </c>
      <c r="E4" s="3">
        <f>Lösungen!C3</f>
        <v>3</v>
      </c>
      <c r="F4" s="3" t="e">
        <f>PRODUCT(B4,E4)</f>
        <v>#VALUE!</v>
      </c>
      <c r="G4" s="3">
        <f>Lösungen!D3</f>
        <v>1</v>
      </c>
      <c r="H4" s="3" t="e">
        <f>PRODUCT(B4,G4)</f>
        <v>#VALUE!</v>
      </c>
    </row>
    <row r="5" spans="1:8" x14ac:dyDescent="0.25">
      <c r="A5" s="3" t="s">
        <v>8</v>
      </c>
      <c r="B5" s="3" t="e" cm="1">
        <f t="array" ref="B5">INDEX(Szenarien!B:K, $B$1+1, 3)</f>
        <v>#VALUE!</v>
      </c>
      <c r="C5" s="3">
        <f>Lösungen!B4</f>
        <v>1</v>
      </c>
      <c r="D5" s="3" t="e">
        <f t="shared" ref="D5:D12" si="0">PRODUCT(B5,C5)</f>
        <v>#VALUE!</v>
      </c>
      <c r="E5" s="3">
        <f>Lösungen!C4</f>
        <v>3</v>
      </c>
      <c r="F5" s="3" t="e">
        <f t="shared" ref="F5:F12" si="1">PRODUCT(B5,E5)</f>
        <v>#VALUE!</v>
      </c>
      <c r="G5" s="3">
        <f>Lösungen!D4</f>
        <v>2</v>
      </c>
      <c r="H5" s="3" t="e">
        <f t="shared" ref="H5:H12" si="2">PRODUCT(B5,G5)</f>
        <v>#VALUE!</v>
      </c>
    </row>
    <row r="6" spans="1:8" x14ac:dyDescent="0.25">
      <c r="A6" s="3" t="s">
        <v>2</v>
      </c>
      <c r="B6" s="3" t="e" cm="1">
        <f t="array" ref="B6">INDEX(Szenarien!B:K, $B$1+1, 4)</f>
        <v>#VALUE!</v>
      </c>
      <c r="C6" s="3">
        <f>Lösungen!B5</f>
        <v>3</v>
      </c>
      <c r="D6" s="3" t="e">
        <f t="shared" si="0"/>
        <v>#VALUE!</v>
      </c>
      <c r="E6" s="3">
        <f>Lösungen!C5</f>
        <v>3</v>
      </c>
      <c r="F6" s="3" t="e">
        <f t="shared" si="1"/>
        <v>#VALUE!</v>
      </c>
      <c r="G6" s="3">
        <f>Lösungen!D5</f>
        <v>3</v>
      </c>
      <c r="H6" s="3" t="e">
        <f t="shared" si="2"/>
        <v>#VALUE!</v>
      </c>
    </row>
    <row r="7" spans="1:8" x14ac:dyDescent="0.25">
      <c r="A7" s="3" t="s">
        <v>3</v>
      </c>
      <c r="B7" s="3" t="e" cm="1">
        <f t="array" ref="B7">INDEX(Szenarien!B:K, $B$1+1, 5)</f>
        <v>#VALUE!</v>
      </c>
      <c r="C7" s="3">
        <f>Lösungen!B6</f>
        <v>3</v>
      </c>
      <c r="D7" s="3" t="e">
        <f t="shared" si="0"/>
        <v>#VALUE!</v>
      </c>
      <c r="E7" s="3">
        <f>Lösungen!C6</f>
        <v>2</v>
      </c>
      <c r="F7" s="3" t="e">
        <f t="shared" si="1"/>
        <v>#VALUE!</v>
      </c>
      <c r="G7" s="3">
        <f>Lösungen!D6</f>
        <v>2</v>
      </c>
      <c r="H7" s="3" t="e">
        <f t="shared" si="2"/>
        <v>#VALUE!</v>
      </c>
    </row>
    <row r="8" spans="1:8" x14ac:dyDescent="0.25">
      <c r="A8" s="3" t="s">
        <v>10</v>
      </c>
      <c r="B8" s="3" t="e" cm="1">
        <f t="array" ref="B8">INDEX(Szenarien!B:K, $B$1+1, 6)</f>
        <v>#VALUE!</v>
      </c>
      <c r="C8" s="3">
        <f>Lösungen!B7</f>
        <v>3</v>
      </c>
      <c r="D8" s="3" t="e">
        <f t="shared" si="0"/>
        <v>#VALUE!</v>
      </c>
      <c r="E8" s="3">
        <f>Lösungen!C7</f>
        <v>2</v>
      </c>
      <c r="F8" s="3" t="e">
        <f t="shared" si="1"/>
        <v>#VALUE!</v>
      </c>
      <c r="G8" s="3">
        <f>Lösungen!D7</f>
        <v>1</v>
      </c>
      <c r="H8" s="3" t="e">
        <f t="shared" si="2"/>
        <v>#VALUE!</v>
      </c>
    </row>
    <row r="9" spans="1:8" x14ac:dyDescent="0.25">
      <c r="A9" s="3" t="s">
        <v>5</v>
      </c>
      <c r="B9" s="3" t="e" cm="1">
        <f t="array" ref="B9">INDEX(Szenarien!B:K, $B$1+1, 7)</f>
        <v>#VALUE!</v>
      </c>
      <c r="C9" s="3">
        <f>Lösungen!B8</f>
        <v>2</v>
      </c>
      <c r="D9" s="3" t="e">
        <f t="shared" si="0"/>
        <v>#VALUE!</v>
      </c>
      <c r="E9" s="3">
        <f>Lösungen!C8</f>
        <v>3</v>
      </c>
      <c r="F9" s="3" t="e">
        <f t="shared" si="1"/>
        <v>#VALUE!</v>
      </c>
      <c r="G9" s="3">
        <f>Lösungen!D8</f>
        <v>1</v>
      </c>
      <c r="H9" s="3" t="e">
        <f t="shared" si="2"/>
        <v>#VALUE!</v>
      </c>
    </row>
    <row r="10" spans="1:8" x14ac:dyDescent="0.25">
      <c r="A10" s="3" t="s">
        <v>15</v>
      </c>
      <c r="B10" s="3" t="e" cm="1">
        <f t="array" ref="B10">INDEX(Szenarien!B:K, $B$1+1, 8)</f>
        <v>#VALUE!</v>
      </c>
      <c r="C10" s="3">
        <f>Lösungen!B9</f>
        <v>2</v>
      </c>
      <c r="D10" s="3" t="e">
        <f>PRODUCT(B10,C10)</f>
        <v>#VALUE!</v>
      </c>
      <c r="E10" s="3">
        <f>Lösungen!C9</f>
        <v>3</v>
      </c>
      <c r="F10" s="3" t="e">
        <f>PRODUCT(B10,E10)</f>
        <v>#VALUE!</v>
      </c>
      <c r="G10" s="3">
        <f>Lösungen!D9</f>
        <v>1</v>
      </c>
      <c r="H10" s="3" t="e">
        <f>PRODUCT(B10,G10)</f>
        <v>#VALUE!</v>
      </c>
    </row>
    <row r="11" spans="1:8" x14ac:dyDescent="0.25">
      <c r="A11" s="3" t="s">
        <v>20</v>
      </c>
      <c r="B11" s="3" t="e" cm="1">
        <f t="array" ref="B11">INDEX(Szenarien!B:K, $B$1+1, 9)</f>
        <v>#VALUE!</v>
      </c>
      <c r="C11" s="3">
        <f>Lösungen!B10</f>
        <v>3</v>
      </c>
      <c r="D11" s="3" t="e">
        <f>PRODUCT(B11,C11)</f>
        <v>#VALUE!</v>
      </c>
      <c r="E11" s="3">
        <f>Lösungen!C10</f>
        <v>1</v>
      </c>
      <c r="F11" s="3" t="e">
        <f>PRODUCT(B11,E11)</f>
        <v>#VALUE!</v>
      </c>
      <c r="G11" s="3">
        <f>Lösungen!D10</f>
        <v>2</v>
      </c>
      <c r="H11" s="3" t="e">
        <f>PRODUCT(B11,G11)</f>
        <v>#VALUE!</v>
      </c>
    </row>
    <row r="12" spans="1:8" x14ac:dyDescent="0.25">
      <c r="A12" s="3" t="s">
        <v>6</v>
      </c>
      <c r="B12" s="3" t="e" cm="1">
        <f t="array" ref="B12">INDEX(Szenarien!B:K, $B$1+1, 10)</f>
        <v>#VALUE!</v>
      </c>
      <c r="C12" s="3">
        <f>Lösungen!B11</f>
        <v>3</v>
      </c>
      <c r="D12" s="3" t="e">
        <f t="shared" si="0"/>
        <v>#VALUE!</v>
      </c>
      <c r="E12" s="3">
        <f>Lösungen!C11</f>
        <v>1</v>
      </c>
      <c r="F12" s="3" t="e">
        <f t="shared" si="1"/>
        <v>#VALUE!</v>
      </c>
      <c r="G12" s="3">
        <f>Lösungen!D11</f>
        <v>2</v>
      </c>
      <c r="H12" s="3" t="e">
        <f t="shared" si="2"/>
        <v>#VALUE!</v>
      </c>
    </row>
    <row r="13" spans="1:8" x14ac:dyDescent="0.25">
      <c r="A13" s="6" t="s">
        <v>13</v>
      </c>
      <c r="B13" s="6" t="e">
        <f>SUM(B3:B12)</f>
        <v>#VALUE!</v>
      </c>
      <c r="C13" s="6"/>
      <c r="D13" s="6" t="e">
        <f t="shared" ref="D13:H13" si="3">SUM(D3:D12)</f>
        <v>#VALUE!</v>
      </c>
      <c r="E13" s="6"/>
      <c r="F13" s="6" t="e">
        <f t="shared" si="3"/>
        <v>#VALUE!</v>
      </c>
      <c r="G13" s="6"/>
      <c r="H13" s="6" t="e">
        <f t="shared" si="3"/>
        <v>#VALUE!</v>
      </c>
    </row>
    <row r="14" spans="1:8" x14ac:dyDescent="0.25">
      <c r="A14" s="6" t="s">
        <v>24</v>
      </c>
      <c r="B14" s="6"/>
      <c r="C14" s="6"/>
      <c r="D14" s="6" t="e">
        <f>(D13-100)/2</f>
        <v>#VALUE!</v>
      </c>
      <c r="E14" s="6"/>
      <c r="F14" s="6" t="e">
        <f>(F13-100)/2</f>
        <v>#VALUE!</v>
      </c>
      <c r="G14" s="6"/>
      <c r="H14" s="6" t="e">
        <f>(H13-100)/2</f>
        <v>#VALUE!</v>
      </c>
    </row>
    <row r="15" spans="1:8" x14ac:dyDescent="0.25">
      <c r="A15" s="6" t="s">
        <v>14</v>
      </c>
      <c r="B15" s="6"/>
      <c r="C15" s="6"/>
      <c r="D15" s="6" t="e">
        <f>1+(F13&gt;D13)+(H13&gt;D13)</f>
        <v>#VALUE!</v>
      </c>
      <c r="E15" s="6"/>
      <c r="F15" s="6" t="e">
        <f>1+(D13&gt;F13)+(H13&gt;F13)</f>
        <v>#VALUE!</v>
      </c>
      <c r="G15" s="6"/>
      <c r="H15" s="6" t="e">
        <f>1+(D13&gt;H13)+(F13&gt;H13)</f>
        <v>#VALUE!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8880-D037-4F7B-AF8F-E0B2DBB4D0DD}">
  <dimension ref="A1:H16"/>
  <sheetViews>
    <sheetView zoomScale="160" zoomScaleNormal="160" workbookViewId="0">
      <selection activeCell="A19" sqref="A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1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50</v>
      </c>
      <c r="C3" s="3">
        <f>Lösungen!B2</f>
        <v>1</v>
      </c>
      <c r="D3" s="3">
        <f>PRODUCT(B3,C3)</f>
        <v>50</v>
      </c>
      <c r="E3" s="3">
        <f>Lösungen!C2</f>
        <v>2</v>
      </c>
      <c r="F3" s="3">
        <f>PRODUCT(B3,E3)</f>
        <v>100</v>
      </c>
      <c r="G3" s="3">
        <f>Lösungen!D2</f>
        <v>3</v>
      </c>
      <c r="H3" s="3">
        <f>PRODUCT(B3,G3)</f>
        <v>150</v>
      </c>
    </row>
    <row r="4" spans="1:8" x14ac:dyDescent="0.25">
      <c r="A4" s="3" t="s">
        <v>7</v>
      </c>
      <c r="B4" s="3" cm="1">
        <f t="array" ref="B4">INDEX(Szenarien!B:K, $B$1+1, 2)</f>
        <v>5</v>
      </c>
      <c r="C4" s="3">
        <f>Lösungen!B3</f>
        <v>3</v>
      </c>
      <c r="D4" s="3">
        <f>PRODUCT(B4,C4)</f>
        <v>15</v>
      </c>
      <c r="E4" s="3">
        <f>Lösungen!C3</f>
        <v>3</v>
      </c>
      <c r="F4" s="3">
        <f>PRODUCT(B4,E4)</f>
        <v>15</v>
      </c>
      <c r="G4" s="3">
        <f>Lösungen!D3</f>
        <v>1</v>
      </c>
      <c r="H4" s="3">
        <f>PRODUCT(B4,G4)</f>
        <v>5</v>
      </c>
    </row>
    <row r="5" spans="1:8" x14ac:dyDescent="0.25">
      <c r="A5" s="3" t="s">
        <v>8</v>
      </c>
      <c r="B5" s="3" cm="1">
        <f t="array" ref="B5">INDEX(Szenarien!B:K, $B$1+1, 3)</f>
        <v>0</v>
      </c>
      <c r="C5" s="3">
        <f>Lösungen!B4</f>
        <v>1</v>
      </c>
      <c r="D5" s="3">
        <f t="shared" ref="D5:D9" si="0">PRODUCT(B5,C5)</f>
        <v>0</v>
      </c>
      <c r="E5" s="3">
        <f>Lösungen!C4</f>
        <v>3</v>
      </c>
      <c r="F5" s="3">
        <f t="shared" ref="F5:F9" si="1">PRODUCT(B5,E5)</f>
        <v>0</v>
      </c>
      <c r="G5" s="3">
        <f>Lösungen!D4</f>
        <v>2</v>
      </c>
      <c r="H5" s="3">
        <f t="shared" ref="H5:H9" si="2">PRODUCT(B5,G5)</f>
        <v>0</v>
      </c>
    </row>
    <row r="6" spans="1:8" x14ac:dyDescent="0.25">
      <c r="A6" s="3" t="s">
        <v>2</v>
      </c>
      <c r="B6" s="3" cm="1">
        <f t="array" ref="B6">INDEX(Szenarien!B:K, $B$1+1, 4)</f>
        <v>15</v>
      </c>
      <c r="C6" s="3">
        <f>Lösungen!B5</f>
        <v>3</v>
      </c>
      <c r="D6" s="3">
        <f t="shared" si="0"/>
        <v>45</v>
      </c>
      <c r="E6" s="3">
        <f>Lösungen!C5</f>
        <v>3</v>
      </c>
      <c r="F6" s="3">
        <f t="shared" si="1"/>
        <v>45</v>
      </c>
      <c r="G6" s="3">
        <f>Lösungen!D5</f>
        <v>3</v>
      </c>
      <c r="H6" s="3">
        <f t="shared" si="2"/>
        <v>45</v>
      </c>
    </row>
    <row r="7" spans="1:8" x14ac:dyDescent="0.25">
      <c r="A7" s="3" t="s">
        <v>3</v>
      </c>
      <c r="B7" s="3" cm="1">
        <f t="array" ref="B7">INDEX(Szenarien!B:K, $B$1+1, 5)</f>
        <v>10</v>
      </c>
      <c r="C7" s="3">
        <f>Lösungen!B6</f>
        <v>3</v>
      </c>
      <c r="D7" s="3">
        <f t="shared" si="0"/>
        <v>30</v>
      </c>
      <c r="E7" s="3">
        <f>Lösungen!C6</f>
        <v>2</v>
      </c>
      <c r="F7" s="3">
        <f t="shared" si="1"/>
        <v>20</v>
      </c>
      <c r="G7" s="3">
        <f>Lösungen!D6</f>
        <v>2</v>
      </c>
      <c r="H7" s="3">
        <f t="shared" si="2"/>
        <v>20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5</v>
      </c>
      <c r="C9" s="3">
        <f>Lösungen!B8</f>
        <v>2</v>
      </c>
      <c r="D9" s="3">
        <f t="shared" si="0"/>
        <v>10</v>
      </c>
      <c r="E9" s="3">
        <f>Lösungen!C8</f>
        <v>3</v>
      </c>
      <c r="F9" s="3">
        <f t="shared" si="1"/>
        <v>15</v>
      </c>
      <c r="G9" s="3">
        <f>Lösungen!D8</f>
        <v>1</v>
      </c>
      <c r="H9" s="3">
        <f t="shared" si="2"/>
        <v>5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195</v>
      </c>
      <c r="E13" s="6"/>
      <c r="F13" s="6">
        <f t="shared" si="6"/>
        <v>210</v>
      </c>
      <c r="G13" s="6"/>
      <c r="H13" s="6">
        <f t="shared" si="6"/>
        <v>255</v>
      </c>
    </row>
    <row r="14" spans="1:8" x14ac:dyDescent="0.25">
      <c r="A14" s="6" t="s">
        <v>24</v>
      </c>
      <c r="B14" s="6"/>
      <c r="C14" s="6"/>
      <c r="D14" s="6">
        <f>(D13-100)/2</f>
        <v>47.5</v>
      </c>
      <c r="E14" s="6"/>
      <c r="F14" s="6">
        <f>(F13-100)/2</f>
        <v>55</v>
      </c>
      <c r="G14" s="6"/>
      <c r="H14" s="6">
        <f>(H13-100)/2</f>
        <v>77.5</v>
      </c>
    </row>
    <row r="15" spans="1:8" x14ac:dyDescent="0.25">
      <c r="A15" s="6" t="s">
        <v>14</v>
      </c>
      <c r="B15" s="6"/>
      <c r="C15" s="6"/>
      <c r="D15" s="6">
        <f>1+(F13&gt;D13)+(H13&gt;D13)</f>
        <v>3</v>
      </c>
      <c r="E15" s="6"/>
      <c r="F15" s="6">
        <f>1+(D13&gt;F13)+(H13&gt;F13)</f>
        <v>2</v>
      </c>
      <c r="G15" s="6"/>
      <c r="H15" s="6">
        <f>1+(D13&gt;H13)+(F13&gt;H13)</f>
        <v>1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2D90-D703-459A-9027-60F87A40826D}">
  <dimension ref="A1:H16"/>
  <sheetViews>
    <sheetView zoomScale="160" zoomScaleNormal="160" workbookViewId="0">
      <selection activeCell="H17" sqref="H17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6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>
        <v>14.285714</v>
      </c>
      <c r="C3" s="3">
        <f>Lösungen!B2</f>
        <v>1</v>
      </c>
      <c r="D3" s="3">
        <f>PRODUCT(B3,C3)</f>
        <v>14.285714</v>
      </c>
      <c r="E3" s="3">
        <f>Lösungen!C2</f>
        <v>2</v>
      </c>
      <c r="F3" s="3">
        <f>PRODUCT(B3,E3)</f>
        <v>28.571428000000001</v>
      </c>
      <c r="G3" s="3">
        <f>Lösungen!D2</f>
        <v>3</v>
      </c>
      <c r="H3" s="3">
        <f>PRODUCT(B3,G3)</f>
        <v>42.857142000000003</v>
      </c>
    </row>
    <row r="4" spans="1:8" x14ac:dyDescent="0.25">
      <c r="A4" s="3" t="s">
        <v>7</v>
      </c>
      <c r="B4" s="3">
        <v>14.285714</v>
      </c>
      <c r="C4" s="3">
        <f>Lösungen!B3</f>
        <v>3</v>
      </c>
      <c r="D4" s="3">
        <f>PRODUCT(B4,C4)</f>
        <v>42.857142000000003</v>
      </c>
      <c r="E4" s="3">
        <f>Lösungen!C3</f>
        <v>3</v>
      </c>
      <c r="F4" s="3">
        <f>PRODUCT(B4,E4)</f>
        <v>42.857142000000003</v>
      </c>
      <c r="G4" s="3">
        <f>Lösungen!D3</f>
        <v>1</v>
      </c>
      <c r="H4" s="3">
        <f>PRODUCT(B4,G4)</f>
        <v>14.285714</v>
      </c>
    </row>
    <row r="5" spans="1:8" x14ac:dyDescent="0.25">
      <c r="A5" s="3" t="s">
        <v>8</v>
      </c>
      <c r="B5" s="3">
        <v>0</v>
      </c>
      <c r="C5" s="3">
        <f>Lösungen!B4</f>
        <v>1</v>
      </c>
      <c r="D5" s="3">
        <f t="shared" ref="D5:D9" si="0">PRODUCT(B5,C5)</f>
        <v>0</v>
      </c>
      <c r="E5" s="3">
        <f>Lösungen!C4</f>
        <v>3</v>
      </c>
      <c r="F5" s="3">
        <f t="shared" ref="F5:F9" si="1">PRODUCT(B5,E5)</f>
        <v>0</v>
      </c>
      <c r="G5" s="3">
        <f>Lösungen!D4</f>
        <v>2</v>
      </c>
      <c r="H5" s="3">
        <f t="shared" ref="H5:H9" si="2">PRODUCT(B5,G5)</f>
        <v>0</v>
      </c>
    </row>
    <row r="6" spans="1:8" x14ac:dyDescent="0.25">
      <c r="A6" s="3" t="s">
        <v>2</v>
      </c>
      <c r="B6" s="3">
        <v>14.285714</v>
      </c>
      <c r="C6" s="3">
        <f>Lösungen!B5</f>
        <v>3</v>
      </c>
      <c r="D6" s="3">
        <f t="shared" si="0"/>
        <v>42.857142000000003</v>
      </c>
      <c r="E6" s="3">
        <f>Lösungen!C5</f>
        <v>3</v>
      </c>
      <c r="F6" s="3">
        <f t="shared" si="1"/>
        <v>42.857142000000003</v>
      </c>
      <c r="G6" s="3">
        <f>Lösungen!D5</f>
        <v>3</v>
      </c>
      <c r="H6" s="3">
        <f t="shared" si="2"/>
        <v>42.857142000000003</v>
      </c>
    </row>
    <row r="7" spans="1:8" x14ac:dyDescent="0.25">
      <c r="A7" s="3" t="s">
        <v>3</v>
      </c>
      <c r="B7" s="3">
        <v>14.285714</v>
      </c>
      <c r="C7" s="3">
        <f>Lösungen!B6</f>
        <v>3</v>
      </c>
      <c r="D7" s="3">
        <f t="shared" si="0"/>
        <v>42.857142000000003</v>
      </c>
      <c r="E7" s="3">
        <f>Lösungen!C6</f>
        <v>2</v>
      </c>
      <c r="F7" s="3">
        <f t="shared" si="1"/>
        <v>28.571428000000001</v>
      </c>
      <c r="G7" s="3">
        <f>Lösungen!D6</f>
        <v>2</v>
      </c>
      <c r="H7" s="3">
        <f t="shared" si="2"/>
        <v>28.571428000000001</v>
      </c>
    </row>
    <row r="8" spans="1:8" x14ac:dyDescent="0.25">
      <c r="A8" s="3" t="s">
        <v>10</v>
      </c>
      <c r="B8" s="3"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>
        <v>14.285714</v>
      </c>
      <c r="C9" s="3">
        <f>Lösungen!B8</f>
        <v>2</v>
      </c>
      <c r="D9" s="3">
        <f t="shared" si="0"/>
        <v>28.571428000000001</v>
      </c>
      <c r="E9" s="3">
        <f>Lösungen!C8</f>
        <v>3</v>
      </c>
      <c r="F9" s="3">
        <f t="shared" si="1"/>
        <v>42.857142000000003</v>
      </c>
      <c r="G9" s="3">
        <f>Lösungen!D8</f>
        <v>1</v>
      </c>
      <c r="H9" s="3">
        <f t="shared" si="2"/>
        <v>14.285714</v>
      </c>
    </row>
    <row r="10" spans="1:8" x14ac:dyDescent="0.25">
      <c r="A10" s="3" t="s">
        <v>15</v>
      </c>
      <c r="B10" s="3"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>
        <v>14.285714</v>
      </c>
      <c r="C11" s="3">
        <f>Lösungen!B10</f>
        <v>3</v>
      </c>
      <c r="D11" s="3">
        <f>PRODUCT(B11,C11)</f>
        <v>42.857142000000003</v>
      </c>
      <c r="E11" s="3">
        <f>Lösungen!C10</f>
        <v>1</v>
      </c>
      <c r="F11" s="3">
        <f>PRODUCT(B11,E11)</f>
        <v>14.285714</v>
      </c>
      <c r="G11" s="3">
        <f>Lösungen!D10</f>
        <v>2</v>
      </c>
      <c r="H11" s="3">
        <f>PRODUCT(B11,G11)</f>
        <v>28.571428000000001</v>
      </c>
    </row>
    <row r="12" spans="1:8" x14ac:dyDescent="0.25">
      <c r="A12" s="3" t="s">
        <v>6</v>
      </c>
      <c r="B12" s="3">
        <v>14.285714</v>
      </c>
      <c r="C12" s="3">
        <f>Lösungen!B11</f>
        <v>3</v>
      </c>
      <c r="D12" s="3">
        <f t="shared" ref="D12" si="3">PRODUCT(B12,C12)</f>
        <v>42.857142000000003</v>
      </c>
      <c r="E12" s="3">
        <f>Lösungen!C11</f>
        <v>1</v>
      </c>
      <c r="F12" s="3">
        <f t="shared" ref="F12" si="4">PRODUCT(B12,E12)</f>
        <v>14.285714</v>
      </c>
      <c r="G12" s="3">
        <f>Lösungen!D11</f>
        <v>2</v>
      </c>
      <c r="H12" s="3">
        <f t="shared" ref="H12" si="5">PRODUCT(B12,G12)</f>
        <v>28.571428000000001</v>
      </c>
    </row>
    <row r="13" spans="1:8" x14ac:dyDescent="0.25">
      <c r="A13" s="6" t="s">
        <v>13</v>
      </c>
      <c r="B13" s="6">
        <f>SUM(B3:B12)</f>
        <v>99.999998000000005</v>
      </c>
      <c r="C13" s="6"/>
      <c r="D13" s="6">
        <f t="shared" ref="D13:H13" si="6">SUM(D3:D12)</f>
        <v>257.142852</v>
      </c>
      <c r="E13" s="6"/>
      <c r="F13" s="6">
        <f t="shared" si="6"/>
        <v>214.28571000000005</v>
      </c>
      <c r="G13" s="6"/>
      <c r="H13" s="6">
        <f t="shared" si="6"/>
        <v>199.99999600000001</v>
      </c>
    </row>
    <row r="14" spans="1:8" x14ac:dyDescent="0.25">
      <c r="A14" s="6" t="s">
        <v>24</v>
      </c>
      <c r="B14" s="6"/>
      <c r="C14" s="6"/>
      <c r="D14" s="6">
        <f>(D13-100)/2</f>
        <v>78.571426000000002</v>
      </c>
      <c r="E14" s="6"/>
      <c r="F14" s="6">
        <f>(F13-100)/2</f>
        <v>57.142855000000026</v>
      </c>
      <c r="G14" s="6"/>
      <c r="H14" s="6">
        <f>(H13-100)/2</f>
        <v>49.999998000000005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2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9049-AE8F-48E7-96CF-575B5EEDD492}">
  <dimension ref="A1:H16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2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15</v>
      </c>
      <c r="C3" s="3">
        <f>Lösungen!B2</f>
        <v>1</v>
      </c>
      <c r="D3" s="3">
        <f>PRODUCT(B3,C3)</f>
        <v>15</v>
      </c>
      <c r="E3" s="3">
        <f>Lösungen!C2</f>
        <v>2</v>
      </c>
      <c r="F3" s="3">
        <f>PRODUCT(B3,E3)</f>
        <v>30</v>
      </c>
      <c r="G3" s="3">
        <f>Lösungen!D2</f>
        <v>3</v>
      </c>
      <c r="H3" s="3">
        <f>PRODUCT(B3,G3)</f>
        <v>45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15</v>
      </c>
      <c r="C5" s="3">
        <f>Lösungen!B4</f>
        <v>1</v>
      </c>
      <c r="D5" s="3">
        <f t="shared" ref="D5:D9" si="0">PRODUCT(B5,C5)</f>
        <v>15</v>
      </c>
      <c r="E5" s="3">
        <f>Lösungen!C4</f>
        <v>3</v>
      </c>
      <c r="F5" s="3">
        <f t="shared" ref="F5:F9" si="1">PRODUCT(B5,E5)</f>
        <v>45</v>
      </c>
      <c r="G5" s="3">
        <f>Lösungen!D4</f>
        <v>2</v>
      </c>
      <c r="H5" s="3">
        <f t="shared" ref="H5:H9" si="2">PRODUCT(B5,G5)</f>
        <v>30</v>
      </c>
    </row>
    <row r="6" spans="1:8" x14ac:dyDescent="0.25">
      <c r="A6" s="3" t="s">
        <v>2</v>
      </c>
      <c r="B6" s="3" cm="1">
        <f t="array" ref="B6">INDEX(Szenarien!B:K, $B$1+1, 4)</f>
        <v>5</v>
      </c>
      <c r="C6" s="3">
        <f>Lösungen!B5</f>
        <v>3</v>
      </c>
      <c r="D6" s="3">
        <f t="shared" si="0"/>
        <v>15</v>
      </c>
      <c r="E6" s="3">
        <f>Lösungen!C5</f>
        <v>3</v>
      </c>
      <c r="F6" s="3">
        <f t="shared" si="1"/>
        <v>15</v>
      </c>
      <c r="G6" s="3">
        <f>Lösungen!D5</f>
        <v>3</v>
      </c>
      <c r="H6" s="3">
        <f t="shared" si="2"/>
        <v>15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15</v>
      </c>
      <c r="C8" s="3">
        <f>Lösungen!B7</f>
        <v>3</v>
      </c>
      <c r="D8" s="3">
        <f t="shared" si="0"/>
        <v>45</v>
      </c>
      <c r="E8" s="3">
        <f>Lösungen!C7</f>
        <v>2</v>
      </c>
      <c r="F8" s="3">
        <f t="shared" si="1"/>
        <v>30</v>
      </c>
      <c r="G8" s="3">
        <f>Lösungen!D7</f>
        <v>1</v>
      </c>
      <c r="H8" s="3">
        <f t="shared" si="2"/>
        <v>15</v>
      </c>
    </row>
    <row r="9" spans="1:8" x14ac:dyDescent="0.25">
      <c r="A9" s="3" t="s">
        <v>5</v>
      </c>
      <c r="B9" s="3" cm="1">
        <f t="array" ref="B9">INDEX(Szenarien!B:K, $B$1+1, 7)</f>
        <v>5</v>
      </c>
      <c r="C9" s="3">
        <f>Lösungen!B8</f>
        <v>2</v>
      </c>
      <c r="D9" s="3">
        <f t="shared" si="0"/>
        <v>10</v>
      </c>
      <c r="E9" s="3">
        <f>Lösungen!C8</f>
        <v>3</v>
      </c>
      <c r="F9" s="3">
        <f t="shared" si="1"/>
        <v>15</v>
      </c>
      <c r="G9" s="3">
        <f>Lösungen!D8</f>
        <v>1</v>
      </c>
      <c r="H9" s="3">
        <f t="shared" si="2"/>
        <v>5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15</v>
      </c>
      <c r="C11" s="3">
        <f>Lösungen!B10</f>
        <v>3</v>
      </c>
      <c r="D11" s="3">
        <f>PRODUCT(B11,C11)</f>
        <v>45</v>
      </c>
      <c r="E11" s="3">
        <f>Lösungen!C10</f>
        <v>1</v>
      </c>
      <c r="F11" s="3">
        <f>PRODUCT(B11,E11)</f>
        <v>15</v>
      </c>
      <c r="G11" s="3">
        <f>Lösungen!D10</f>
        <v>2</v>
      </c>
      <c r="H11" s="3">
        <f>PRODUCT(B11,G11)</f>
        <v>30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235</v>
      </c>
      <c r="E13" s="6"/>
      <c r="F13" s="6">
        <f t="shared" si="6"/>
        <v>215</v>
      </c>
      <c r="G13" s="6"/>
      <c r="H13" s="6">
        <f t="shared" si="6"/>
        <v>190</v>
      </c>
    </row>
    <row r="14" spans="1:8" x14ac:dyDescent="0.25">
      <c r="A14" s="6" t="s">
        <v>24</v>
      </c>
      <c r="B14" s="6"/>
      <c r="C14" s="6"/>
      <c r="D14" s="6">
        <f>(D13-100)/2</f>
        <v>67.5</v>
      </c>
      <c r="E14" s="6"/>
      <c r="F14" s="6">
        <f>(F13-100)/2</f>
        <v>57.5</v>
      </c>
      <c r="G14" s="6"/>
      <c r="H14" s="6">
        <f>(H13-100)/2</f>
        <v>45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2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6DF9-E239-4CB0-9671-EF53F8C7B1D3}">
  <dimension ref="A1:H16"/>
  <sheetViews>
    <sheetView zoomScale="160" zoomScaleNormal="160" workbookViewId="0">
      <selection activeCell="H20" sqref="H20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6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>
        <v>11.1111111</v>
      </c>
      <c r="C3" s="3">
        <f>Lösungen!B2</f>
        <v>1</v>
      </c>
      <c r="D3" s="3">
        <f>PRODUCT(B3,C3)</f>
        <v>11.1111111</v>
      </c>
      <c r="E3" s="3">
        <f>Lösungen!C2</f>
        <v>2</v>
      </c>
      <c r="F3" s="3">
        <f>PRODUCT(B3,E3)</f>
        <v>22.222222200000001</v>
      </c>
      <c r="G3" s="3">
        <f>Lösungen!D2</f>
        <v>3</v>
      </c>
      <c r="H3" s="3">
        <f>PRODUCT(B3,G3)</f>
        <v>33.3333333</v>
      </c>
    </row>
    <row r="4" spans="1:8" x14ac:dyDescent="0.25">
      <c r="A4" s="3" t="s">
        <v>7</v>
      </c>
      <c r="B4" s="3">
        <v>11.1111111</v>
      </c>
      <c r="C4" s="3">
        <f>Lösungen!B3</f>
        <v>3</v>
      </c>
      <c r="D4" s="3">
        <f>PRODUCT(B4,C4)</f>
        <v>33.3333333</v>
      </c>
      <c r="E4" s="3">
        <f>Lösungen!C3</f>
        <v>3</v>
      </c>
      <c r="F4" s="3">
        <f>PRODUCT(B4,E4)</f>
        <v>33.3333333</v>
      </c>
      <c r="G4" s="3">
        <f>Lösungen!D3</f>
        <v>1</v>
      </c>
      <c r="H4" s="3">
        <f>PRODUCT(B4,G4)</f>
        <v>11.1111111</v>
      </c>
    </row>
    <row r="5" spans="1:8" x14ac:dyDescent="0.25">
      <c r="A5" s="3" t="s">
        <v>8</v>
      </c>
      <c r="B5" s="3">
        <v>11.1111111</v>
      </c>
      <c r="C5" s="3">
        <f>Lösungen!B4</f>
        <v>1</v>
      </c>
      <c r="D5" s="3">
        <f t="shared" ref="D5:D9" si="0">PRODUCT(B5,C5)</f>
        <v>11.1111111</v>
      </c>
      <c r="E5" s="3">
        <f>Lösungen!C4</f>
        <v>3</v>
      </c>
      <c r="F5" s="3">
        <f t="shared" ref="F5:F9" si="1">PRODUCT(B5,E5)</f>
        <v>33.3333333</v>
      </c>
      <c r="G5" s="3">
        <f>Lösungen!D4</f>
        <v>2</v>
      </c>
      <c r="H5" s="3">
        <f t="shared" ref="H5:H9" si="2">PRODUCT(B5,G5)</f>
        <v>22.222222200000001</v>
      </c>
    </row>
    <row r="6" spans="1:8" x14ac:dyDescent="0.25">
      <c r="A6" s="3" t="s">
        <v>2</v>
      </c>
      <c r="B6" s="3">
        <v>11.1111111</v>
      </c>
      <c r="C6" s="3">
        <f>Lösungen!B5</f>
        <v>3</v>
      </c>
      <c r="D6" s="3">
        <f t="shared" si="0"/>
        <v>33.3333333</v>
      </c>
      <c r="E6" s="3">
        <f>Lösungen!C5</f>
        <v>3</v>
      </c>
      <c r="F6" s="3">
        <f t="shared" si="1"/>
        <v>33.3333333</v>
      </c>
      <c r="G6" s="3">
        <f>Lösungen!D5</f>
        <v>3</v>
      </c>
      <c r="H6" s="3">
        <f t="shared" si="2"/>
        <v>33.3333333</v>
      </c>
    </row>
    <row r="7" spans="1:8" x14ac:dyDescent="0.25">
      <c r="A7" s="3" t="s">
        <v>3</v>
      </c>
      <c r="B7" s="3">
        <v>11.1111111</v>
      </c>
      <c r="C7" s="3">
        <f>Lösungen!B6</f>
        <v>3</v>
      </c>
      <c r="D7" s="3">
        <f t="shared" si="0"/>
        <v>33.3333333</v>
      </c>
      <c r="E7" s="3">
        <f>Lösungen!C6</f>
        <v>2</v>
      </c>
      <c r="F7" s="3">
        <f t="shared" si="1"/>
        <v>22.222222200000001</v>
      </c>
      <c r="G7" s="3">
        <f>Lösungen!D6</f>
        <v>2</v>
      </c>
      <c r="H7" s="3">
        <f t="shared" si="2"/>
        <v>22.222222200000001</v>
      </c>
    </row>
    <row r="8" spans="1:8" x14ac:dyDescent="0.25">
      <c r="A8" s="3" t="s">
        <v>10</v>
      </c>
      <c r="B8" s="3">
        <v>11.1111111</v>
      </c>
      <c r="C8" s="3">
        <f>Lösungen!B7</f>
        <v>3</v>
      </c>
      <c r="D8" s="3">
        <f t="shared" si="0"/>
        <v>33.3333333</v>
      </c>
      <c r="E8" s="3">
        <f>Lösungen!C7</f>
        <v>2</v>
      </c>
      <c r="F8" s="3">
        <f t="shared" si="1"/>
        <v>22.222222200000001</v>
      </c>
      <c r="G8" s="3">
        <f>Lösungen!D7</f>
        <v>1</v>
      </c>
      <c r="H8" s="3">
        <f t="shared" si="2"/>
        <v>11.1111111</v>
      </c>
    </row>
    <row r="9" spans="1:8" x14ac:dyDescent="0.25">
      <c r="A9" s="3" t="s">
        <v>5</v>
      </c>
      <c r="B9" s="3">
        <v>11.1111111</v>
      </c>
      <c r="C9" s="3">
        <f>Lösungen!B8</f>
        <v>2</v>
      </c>
      <c r="D9" s="3">
        <f t="shared" si="0"/>
        <v>22.222222200000001</v>
      </c>
      <c r="E9" s="3">
        <f>Lösungen!C8</f>
        <v>3</v>
      </c>
      <c r="F9" s="3">
        <f t="shared" si="1"/>
        <v>33.3333333</v>
      </c>
      <c r="G9" s="3">
        <f>Lösungen!D8</f>
        <v>1</v>
      </c>
      <c r="H9" s="3">
        <f t="shared" si="2"/>
        <v>11.1111111</v>
      </c>
    </row>
    <row r="10" spans="1:8" x14ac:dyDescent="0.25">
      <c r="A10" s="3" t="s">
        <v>15</v>
      </c>
      <c r="B10" s="3"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>
        <v>11.1111111</v>
      </c>
      <c r="C11" s="3">
        <f>Lösungen!B10</f>
        <v>3</v>
      </c>
      <c r="D11" s="3">
        <f>PRODUCT(B11,C11)</f>
        <v>33.3333333</v>
      </c>
      <c r="E11" s="3">
        <f>Lösungen!C10</f>
        <v>1</v>
      </c>
      <c r="F11" s="3">
        <f>PRODUCT(B11,E11)</f>
        <v>11.1111111</v>
      </c>
      <c r="G11" s="3">
        <f>Lösungen!D10</f>
        <v>2</v>
      </c>
      <c r="H11" s="3">
        <f>PRODUCT(B11,G11)</f>
        <v>22.222222200000001</v>
      </c>
    </row>
    <row r="12" spans="1:8" x14ac:dyDescent="0.25">
      <c r="A12" s="3" t="s">
        <v>6</v>
      </c>
      <c r="B12" s="3">
        <v>11.1111111</v>
      </c>
      <c r="C12" s="3">
        <f>Lösungen!B11</f>
        <v>3</v>
      </c>
      <c r="D12" s="3">
        <f t="shared" ref="D12" si="3">PRODUCT(B12,C12)</f>
        <v>33.3333333</v>
      </c>
      <c r="E12" s="3">
        <f>Lösungen!C11</f>
        <v>1</v>
      </c>
      <c r="F12" s="3">
        <f t="shared" ref="F12" si="4">PRODUCT(B12,E12)</f>
        <v>11.1111111</v>
      </c>
      <c r="G12" s="3">
        <f>Lösungen!D11</f>
        <v>2</v>
      </c>
      <c r="H12" s="3">
        <f t="shared" ref="H12" si="5">PRODUCT(B12,G12)</f>
        <v>22.222222200000001</v>
      </c>
    </row>
    <row r="13" spans="1:8" x14ac:dyDescent="0.25">
      <c r="A13" s="6" t="s">
        <v>13</v>
      </c>
      <c r="B13" s="6">
        <f>SUM(B3:B12)</f>
        <v>99.999999900000006</v>
      </c>
      <c r="C13" s="6"/>
      <c r="D13" s="6">
        <f t="shared" ref="D13:H13" si="6">SUM(D3:D12)</f>
        <v>244.44444419999999</v>
      </c>
      <c r="E13" s="6"/>
      <c r="F13" s="6">
        <f t="shared" si="6"/>
        <v>222.22222199999996</v>
      </c>
      <c r="G13" s="6"/>
      <c r="H13" s="6">
        <f t="shared" si="6"/>
        <v>188.8888887</v>
      </c>
    </row>
    <row r="14" spans="1:8" x14ac:dyDescent="0.25">
      <c r="A14" s="6" t="s">
        <v>24</v>
      </c>
      <c r="B14" s="6"/>
      <c r="C14" s="6"/>
      <c r="D14" s="6">
        <f>(D13-100)/2</f>
        <v>72.222222099999996</v>
      </c>
      <c r="E14" s="6"/>
      <c r="F14" s="6">
        <f>(F13-100)/2</f>
        <v>61.11111099999998</v>
      </c>
      <c r="G14" s="6"/>
      <c r="H14" s="6">
        <f>(H13-100)/2</f>
        <v>44.444444349999998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2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3448-F0BC-46FC-BBB4-E081BD91570E}">
  <dimension ref="A1:H16"/>
  <sheetViews>
    <sheetView zoomScale="160" zoomScaleNormal="160" workbookViewId="0">
      <selection activeCell="A21" sqref="A21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3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15</v>
      </c>
      <c r="C3" s="3">
        <f>Lösungen!B2</f>
        <v>1</v>
      </c>
      <c r="D3" s="3">
        <f>PRODUCT(B3,C3)</f>
        <v>15</v>
      </c>
      <c r="E3" s="3">
        <f>Lösungen!C2</f>
        <v>2</v>
      </c>
      <c r="F3" s="3">
        <f>PRODUCT(B3,E3)</f>
        <v>30</v>
      </c>
      <c r="G3" s="3">
        <f>Lösungen!D2</f>
        <v>3</v>
      </c>
      <c r="H3" s="3">
        <f>PRODUCT(B3,G3)</f>
        <v>45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15</v>
      </c>
      <c r="C5" s="3">
        <f>Lösungen!B4</f>
        <v>1</v>
      </c>
      <c r="D5" s="3">
        <f t="shared" ref="D5:D9" si="0">PRODUCT(B5,C5)</f>
        <v>15</v>
      </c>
      <c r="E5" s="3">
        <f>Lösungen!C4</f>
        <v>3</v>
      </c>
      <c r="F5" s="3">
        <f t="shared" ref="F5:F9" si="1">PRODUCT(B5,E5)</f>
        <v>45</v>
      </c>
      <c r="G5" s="3">
        <f>Lösungen!D4</f>
        <v>2</v>
      </c>
      <c r="H5" s="3">
        <f t="shared" ref="H5:H9" si="2">PRODUCT(B5,G5)</f>
        <v>30</v>
      </c>
    </row>
    <row r="6" spans="1:8" x14ac:dyDescent="0.25">
      <c r="A6" s="3" t="s">
        <v>2</v>
      </c>
      <c r="B6" s="3" cm="1">
        <f t="array" ref="B6">INDEX(Szenarien!B:K, $B$1+1, 4)</f>
        <v>5</v>
      </c>
      <c r="C6" s="3">
        <f>Lösungen!B5</f>
        <v>3</v>
      </c>
      <c r="D6" s="3">
        <f t="shared" si="0"/>
        <v>15</v>
      </c>
      <c r="E6" s="3">
        <f>Lösungen!C5</f>
        <v>3</v>
      </c>
      <c r="F6" s="3">
        <f t="shared" si="1"/>
        <v>15</v>
      </c>
      <c r="G6" s="3">
        <f>Lösungen!D5</f>
        <v>3</v>
      </c>
      <c r="H6" s="3">
        <f t="shared" si="2"/>
        <v>15</v>
      </c>
    </row>
    <row r="7" spans="1:8" x14ac:dyDescent="0.25">
      <c r="A7" s="3" t="s">
        <v>3</v>
      </c>
      <c r="B7" s="3" cm="1">
        <f t="array" ref="B7">INDEX(Szenarien!B:K, $B$1+1, 5)</f>
        <v>5</v>
      </c>
      <c r="C7" s="3">
        <f>Lösungen!B6</f>
        <v>3</v>
      </c>
      <c r="D7" s="3">
        <f t="shared" si="0"/>
        <v>15</v>
      </c>
      <c r="E7" s="3">
        <f>Lösungen!C6</f>
        <v>2</v>
      </c>
      <c r="F7" s="3">
        <f t="shared" si="1"/>
        <v>10</v>
      </c>
      <c r="G7" s="3">
        <f>Lösungen!D6</f>
        <v>2</v>
      </c>
      <c r="H7" s="3">
        <f t="shared" si="2"/>
        <v>10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15</v>
      </c>
      <c r="C9" s="3">
        <f>Lösungen!B8</f>
        <v>2</v>
      </c>
      <c r="D9" s="3">
        <f t="shared" si="0"/>
        <v>30</v>
      </c>
      <c r="E9" s="3">
        <f>Lösungen!C8</f>
        <v>3</v>
      </c>
      <c r="F9" s="3">
        <f t="shared" si="1"/>
        <v>45</v>
      </c>
      <c r="G9" s="3">
        <f>Lösungen!D8</f>
        <v>1</v>
      </c>
      <c r="H9" s="3">
        <f t="shared" si="2"/>
        <v>15</v>
      </c>
    </row>
    <row r="10" spans="1:8" x14ac:dyDescent="0.25">
      <c r="A10" s="3" t="s">
        <v>15</v>
      </c>
      <c r="B10" s="3" cm="1">
        <f t="array" ref="B10">INDEX(Szenarien!B:K, $B$1+1, 8)</f>
        <v>15</v>
      </c>
      <c r="C10" s="3">
        <f>Lösungen!B9</f>
        <v>2</v>
      </c>
      <c r="D10" s="3">
        <f>PRODUCT(B10,C10)</f>
        <v>30</v>
      </c>
      <c r="E10" s="3">
        <f>Lösungen!C9</f>
        <v>3</v>
      </c>
      <c r="F10" s="3">
        <f>PRODUCT(B10,E10)</f>
        <v>45</v>
      </c>
      <c r="G10" s="3">
        <f>Lösungen!D9</f>
        <v>1</v>
      </c>
      <c r="H10" s="3">
        <f>PRODUCT(B10,G10)</f>
        <v>15</v>
      </c>
    </row>
    <row r="11" spans="1:8" x14ac:dyDescent="0.25">
      <c r="A11" s="3" t="s">
        <v>20</v>
      </c>
      <c r="B11" s="3" cm="1">
        <f t="array" ref="B11">INDEX(Szenarien!B:K, $B$1+1, 9)</f>
        <v>15</v>
      </c>
      <c r="C11" s="3">
        <f>Lösungen!B10</f>
        <v>3</v>
      </c>
      <c r="D11" s="3">
        <f>PRODUCT(B11,C11)</f>
        <v>45</v>
      </c>
      <c r="E11" s="3">
        <f>Lösungen!C10</f>
        <v>1</v>
      </c>
      <c r="F11" s="3">
        <f>PRODUCT(B11,E11)</f>
        <v>15</v>
      </c>
      <c r="G11" s="3">
        <f>Lösungen!D10</f>
        <v>2</v>
      </c>
      <c r="H11" s="3">
        <f>PRODUCT(B11,G11)</f>
        <v>30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210</v>
      </c>
      <c r="E13" s="6"/>
      <c r="F13" s="6">
        <f t="shared" si="6"/>
        <v>240</v>
      </c>
      <c r="G13" s="6"/>
      <c r="H13" s="6">
        <f t="shared" si="6"/>
        <v>180</v>
      </c>
    </row>
    <row r="14" spans="1:8" x14ac:dyDescent="0.25">
      <c r="A14" s="6" t="s">
        <v>24</v>
      </c>
      <c r="B14" s="6"/>
      <c r="C14" s="6"/>
      <c r="D14" s="6">
        <f>(D13-100)/2</f>
        <v>55</v>
      </c>
      <c r="E14" s="6"/>
      <c r="F14" s="6">
        <f>(F13-100)/2</f>
        <v>70</v>
      </c>
      <c r="G14" s="6"/>
      <c r="H14" s="6">
        <f>(H13-100)/2</f>
        <v>40</v>
      </c>
    </row>
    <row r="15" spans="1:8" x14ac:dyDescent="0.25">
      <c r="A15" s="6" t="s">
        <v>14</v>
      </c>
      <c r="B15" s="6"/>
      <c r="C15" s="6"/>
      <c r="D15" s="6">
        <f>1+(F13&gt;D13)+(H13&gt;D13)</f>
        <v>2</v>
      </c>
      <c r="E15" s="6"/>
      <c r="F15" s="6">
        <f>1+(D13&gt;F13)+(H13&gt;F13)</f>
        <v>1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71C0-BC99-46E5-AB16-128477459531}">
  <dimension ref="A1:H16"/>
  <sheetViews>
    <sheetView zoomScale="160" zoomScaleNormal="160" workbookViewId="0">
      <selection activeCell="D21" sqref="D21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6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>
        <v>11.1111111</v>
      </c>
      <c r="C3" s="3">
        <f>Lösungen!B2</f>
        <v>1</v>
      </c>
      <c r="D3" s="3">
        <f>PRODUCT(B3,C3)</f>
        <v>11.1111111</v>
      </c>
      <c r="E3" s="3">
        <f>Lösungen!C2</f>
        <v>2</v>
      </c>
      <c r="F3" s="3">
        <f>PRODUCT(B3,E3)</f>
        <v>22.222222200000001</v>
      </c>
      <c r="G3" s="3">
        <f>Lösungen!D2</f>
        <v>3</v>
      </c>
      <c r="H3" s="3">
        <f>PRODUCT(B3,G3)</f>
        <v>33.3333333</v>
      </c>
    </row>
    <row r="4" spans="1:8" x14ac:dyDescent="0.25">
      <c r="A4" s="3" t="s">
        <v>7</v>
      </c>
      <c r="B4" s="3">
        <v>11.1111111</v>
      </c>
      <c r="C4" s="3">
        <f>Lösungen!B3</f>
        <v>3</v>
      </c>
      <c r="D4" s="3">
        <f>PRODUCT(B4,C4)</f>
        <v>33.3333333</v>
      </c>
      <c r="E4" s="3">
        <f>Lösungen!C3</f>
        <v>3</v>
      </c>
      <c r="F4" s="3">
        <f>PRODUCT(B4,E4)</f>
        <v>33.3333333</v>
      </c>
      <c r="G4" s="3">
        <f>Lösungen!D3</f>
        <v>1</v>
      </c>
      <c r="H4" s="3">
        <f>PRODUCT(B4,G4)</f>
        <v>11.1111111</v>
      </c>
    </row>
    <row r="5" spans="1:8" x14ac:dyDescent="0.25">
      <c r="A5" s="3" t="s">
        <v>8</v>
      </c>
      <c r="B5" s="3">
        <v>11.1111111</v>
      </c>
      <c r="C5" s="3">
        <f>Lösungen!B4</f>
        <v>1</v>
      </c>
      <c r="D5" s="3">
        <f t="shared" ref="D5:D9" si="0">PRODUCT(B5,C5)</f>
        <v>11.1111111</v>
      </c>
      <c r="E5" s="3">
        <f>Lösungen!C4</f>
        <v>3</v>
      </c>
      <c r="F5" s="3">
        <f t="shared" ref="F5:F9" si="1">PRODUCT(B5,E5)</f>
        <v>33.3333333</v>
      </c>
      <c r="G5" s="3">
        <f>Lösungen!D4</f>
        <v>2</v>
      </c>
      <c r="H5" s="3">
        <f t="shared" ref="H5:H9" si="2">PRODUCT(B5,G5)</f>
        <v>22.222222200000001</v>
      </c>
    </row>
    <row r="6" spans="1:8" x14ac:dyDescent="0.25">
      <c r="A6" s="3" t="s">
        <v>2</v>
      </c>
      <c r="B6" s="3">
        <v>11.1111111</v>
      </c>
      <c r="C6" s="3">
        <f>Lösungen!B5</f>
        <v>3</v>
      </c>
      <c r="D6" s="3">
        <f t="shared" si="0"/>
        <v>33.3333333</v>
      </c>
      <c r="E6" s="3">
        <f>Lösungen!C5</f>
        <v>3</v>
      </c>
      <c r="F6" s="3">
        <f t="shared" si="1"/>
        <v>33.3333333</v>
      </c>
      <c r="G6" s="3">
        <f>Lösungen!D5</f>
        <v>3</v>
      </c>
      <c r="H6" s="3">
        <f t="shared" si="2"/>
        <v>33.3333333</v>
      </c>
    </row>
    <row r="7" spans="1:8" x14ac:dyDescent="0.25">
      <c r="A7" s="3" t="s">
        <v>3</v>
      </c>
      <c r="B7" s="3">
        <v>11.1111111</v>
      </c>
      <c r="C7" s="3">
        <f>Lösungen!B6</f>
        <v>3</v>
      </c>
      <c r="D7" s="3">
        <f t="shared" si="0"/>
        <v>33.3333333</v>
      </c>
      <c r="E7" s="3">
        <f>Lösungen!C6</f>
        <v>2</v>
      </c>
      <c r="F7" s="3">
        <f t="shared" si="1"/>
        <v>22.222222200000001</v>
      </c>
      <c r="G7" s="3">
        <f>Lösungen!D6</f>
        <v>2</v>
      </c>
      <c r="H7" s="3">
        <f t="shared" si="2"/>
        <v>22.222222200000001</v>
      </c>
    </row>
    <row r="8" spans="1:8" x14ac:dyDescent="0.25">
      <c r="A8" s="3" t="s">
        <v>10</v>
      </c>
      <c r="B8" s="3"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>
        <v>11.1111111</v>
      </c>
      <c r="C9" s="3">
        <f>Lösungen!B8</f>
        <v>2</v>
      </c>
      <c r="D9" s="3">
        <f t="shared" si="0"/>
        <v>22.222222200000001</v>
      </c>
      <c r="E9" s="3">
        <f>Lösungen!C8</f>
        <v>3</v>
      </c>
      <c r="F9" s="3">
        <f t="shared" si="1"/>
        <v>33.3333333</v>
      </c>
      <c r="G9" s="3">
        <f>Lösungen!D8</f>
        <v>1</v>
      </c>
      <c r="H9" s="3">
        <f t="shared" si="2"/>
        <v>11.1111111</v>
      </c>
    </row>
    <row r="10" spans="1:8" x14ac:dyDescent="0.25">
      <c r="A10" s="3" t="s">
        <v>15</v>
      </c>
      <c r="B10" s="3">
        <v>11.1111111</v>
      </c>
      <c r="C10" s="3">
        <f>Lösungen!B9</f>
        <v>2</v>
      </c>
      <c r="D10" s="3">
        <f>PRODUCT(B10,C10)</f>
        <v>22.222222200000001</v>
      </c>
      <c r="E10" s="3">
        <f>Lösungen!C9</f>
        <v>3</v>
      </c>
      <c r="F10" s="3">
        <f>PRODUCT(B10,E10)</f>
        <v>33.3333333</v>
      </c>
      <c r="G10" s="3">
        <f>Lösungen!D9</f>
        <v>1</v>
      </c>
      <c r="H10" s="3">
        <f>PRODUCT(B10,G10)</f>
        <v>11.1111111</v>
      </c>
    </row>
    <row r="11" spans="1:8" x14ac:dyDescent="0.25">
      <c r="A11" s="3" t="s">
        <v>20</v>
      </c>
      <c r="B11" s="3">
        <v>11.1111111</v>
      </c>
      <c r="C11" s="3">
        <f>Lösungen!B10</f>
        <v>3</v>
      </c>
      <c r="D11" s="3">
        <f>PRODUCT(B11,C11)</f>
        <v>33.3333333</v>
      </c>
      <c r="E11" s="3">
        <f>Lösungen!C10</f>
        <v>1</v>
      </c>
      <c r="F11" s="3">
        <f>PRODUCT(B11,E11)</f>
        <v>11.1111111</v>
      </c>
      <c r="G11" s="3">
        <f>Lösungen!D10</f>
        <v>2</v>
      </c>
      <c r="H11" s="3">
        <f>PRODUCT(B11,G11)</f>
        <v>22.222222200000001</v>
      </c>
    </row>
    <row r="12" spans="1:8" x14ac:dyDescent="0.25">
      <c r="A12" s="3" t="s">
        <v>6</v>
      </c>
      <c r="B12" s="3">
        <v>11.1111111</v>
      </c>
      <c r="C12" s="3">
        <f>Lösungen!B11</f>
        <v>3</v>
      </c>
      <c r="D12" s="3">
        <f t="shared" ref="D12" si="3">PRODUCT(B12,C12)</f>
        <v>33.3333333</v>
      </c>
      <c r="E12" s="3">
        <f>Lösungen!C11</f>
        <v>1</v>
      </c>
      <c r="F12" s="3">
        <f t="shared" ref="F12" si="4">PRODUCT(B12,E12)</f>
        <v>11.1111111</v>
      </c>
      <c r="G12" s="3">
        <f>Lösungen!D11</f>
        <v>2</v>
      </c>
      <c r="H12" s="3">
        <f t="shared" ref="H12" si="5">PRODUCT(B12,G12)</f>
        <v>22.222222200000001</v>
      </c>
    </row>
    <row r="13" spans="1:8" x14ac:dyDescent="0.25">
      <c r="A13" s="6" t="s">
        <v>13</v>
      </c>
      <c r="B13" s="6">
        <f>SUM(B3:B12)</f>
        <v>99.999999900000006</v>
      </c>
      <c r="C13" s="6"/>
      <c r="D13" s="6">
        <f t="shared" ref="D13:H13" si="6">SUM(D3:D12)</f>
        <v>233.3333331</v>
      </c>
      <c r="E13" s="6"/>
      <c r="F13" s="6">
        <f t="shared" si="6"/>
        <v>233.33333309999995</v>
      </c>
      <c r="G13" s="6"/>
      <c r="H13" s="6">
        <f t="shared" si="6"/>
        <v>188.8888887</v>
      </c>
    </row>
    <row r="14" spans="1:8" x14ac:dyDescent="0.25">
      <c r="A14" s="6" t="s">
        <v>24</v>
      </c>
      <c r="B14" s="6"/>
      <c r="C14" s="6"/>
      <c r="D14" s="6">
        <f>(D13-100)/2</f>
        <v>66.666666550000002</v>
      </c>
      <c r="E14" s="6"/>
      <c r="F14" s="6">
        <f>(F13-100)/2</f>
        <v>66.666666549999974</v>
      </c>
      <c r="G14" s="6"/>
      <c r="H14" s="6">
        <f>(H13-100)/2</f>
        <v>44.444444349999998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1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601-A1EC-4140-BB2C-E4DAC592EC40}">
  <dimension ref="A1:H16"/>
  <sheetViews>
    <sheetView zoomScale="160" zoomScaleNormal="160" workbookViewId="0">
      <selection activeCell="F27" sqref="F27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4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10</v>
      </c>
      <c r="C3" s="3">
        <f>Lösungen!B2</f>
        <v>1</v>
      </c>
      <c r="D3" s="3">
        <f>PRODUCT(B3,C3)</f>
        <v>10</v>
      </c>
      <c r="E3" s="3">
        <f>Lösungen!C2</f>
        <v>2</v>
      </c>
      <c r="F3" s="3">
        <f>PRODUCT(B3,E3)</f>
        <v>20</v>
      </c>
      <c r="G3" s="3">
        <f>Lösungen!D2</f>
        <v>3</v>
      </c>
      <c r="H3" s="3">
        <f>PRODUCT(B3,G3)</f>
        <v>30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15</v>
      </c>
      <c r="C9" s="3">
        <f>Lösungen!B8</f>
        <v>2</v>
      </c>
      <c r="D9" s="3">
        <f t="shared" si="0"/>
        <v>30</v>
      </c>
      <c r="E9" s="3">
        <f>Lösungen!C8</f>
        <v>3</v>
      </c>
      <c r="F9" s="3">
        <f t="shared" si="1"/>
        <v>45</v>
      </c>
      <c r="G9" s="3">
        <f>Lösungen!D8</f>
        <v>1</v>
      </c>
      <c r="H9" s="3">
        <f t="shared" si="2"/>
        <v>15</v>
      </c>
    </row>
    <row r="10" spans="1:8" x14ac:dyDescent="0.25">
      <c r="A10" s="3" t="s">
        <v>15</v>
      </c>
      <c r="B10" s="3" cm="1">
        <f t="array" ref="B10">INDEX(Szenarien!B:K, $B$1+1, 8)</f>
        <v>15</v>
      </c>
      <c r="C10" s="3">
        <f>Lösungen!B9</f>
        <v>2</v>
      </c>
      <c r="D10" s="3">
        <f>PRODUCT(B10,C10)</f>
        <v>30</v>
      </c>
      <c r="E10" s="3">
        <f>Lösungen!C9</f>
        <v>3</v>
      </c>
      <c r="F10" s="3">
        <f>PRODUCT(B10,E10)</f>
        <v>45</v>
      </c>
      <c r="G10" s="3">
        <f>Lösungen!D9</f>
        <v>1</v>
      </c>
      <c r="H10" s="3">
        <f>PRODUCT(B10,G10)</f>
        <v>15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230</v>
      </c>
      <c r="E13" s="6"/>
      <c r="F13" s="6">
        <f t="shared" si="6"/>
        <v>245</v>
      </c>
      <c r="G13" s="6"/>
      <c r="H13" s="6">
        <f t="shared" si="6"/>
        <v>180</v>
      </c>
    </row>
    <row r="14" spans="1:8" x14ac:dyDescent="0.25">
      <c r="A14" s="6" t="s">
        <v>24</v>
      </c>
      <c r="B14" s="6"/>
      <c r="C14" s="6"/>
      <c r="D14" s="6">
        <f>(D13-100)/2</f>
        <v>65</v>
      </c>
      <c r="E14" s="6"/>
      <c r="F14" s="6">
        <f>(F13-100)/2</f>
        <v>72.5</v>
      </c>
      <c r="G14" s="6"/>
      <c r="H14" s="6">
        <f>(H13-100)/2</f>
        <v>40</v>
      </c>
    </row>
    <row r="15" spans="1:8" x14ac:dyDescent="0.25">
      <c r="A15" s="6" t="s">
        <v>14</v>
      </c>
      <c r="B15" s="6"/>
      <c r="C15" s="6"/>
      <c r="D15" s="6">
        <f>1+(F13&gt;D13)+(H13&gt;D13)</f>
        <v>2</v>
      </c>
      <c r="E15" s="6"/>
      <c r="F15" s="6">
        <f>1+(D13&gt;F13)+(H13&gt;F13)</f>
        <v>1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689A-A05D-41C0-B8A5-03D29D9BE326}">
  <dimension ref="A1:H16"/>
  <sheetViews>
    <sheetView zoomScale="160" zoomScaleNormal="160" workbookViewId="0">
      <selection activeCell="K15" sqref="K15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6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>
        <v>11.1111111</v>
      </c>
      <c r="C3" s="3">
        <f>Lösungen!B2</f>
        <v>1</v>
      </c>
      <c r="D3" s="3">
        <f>PRODUCT(B3,C3)</f>
        <v>11.1111111</v>
      </c>
      <c r="E3" s="3">
        <f>Lösungen!C2</f>
        <v>2</v>
      </c>
      <c r="F3" s="3">
        <f>PRODUCT(B3,E3)</f>
        <v>22.222222200000001</v>
      </c>
      <c r="G3" s="3">
        <f>Lösungen!D2</f>
        <v>3</v>
      </c>
      <c r="H3" s="3">
        <f>PRODUCT(B3,G3)</f>
        <v>33.3333333</v>
      </c>
    </row>
    <row r="4" spans="1:8" x14ac:dyDescent="0.25">
      <c r="A4" s="3" t="s">
        <v>7</v>
      </c>
      <c r="B4" s="3">
        <v>11.1111111</v>
      </c>
      <c r="C4" s="3">
        <f>Lösungen!B3</f>
        <v>3</v>
      </c>
      <c r="D4" s="3">
        <f>PRODUCT(B4,C4)</f>
        <v>33.3333333</v>
      </c>
      <c r="E4" s="3">
        <f>Lösungen!C3</f>
        <v>3</v>
      </c>
      <c r="F4" s="3">
        <f>PRODUCT(B4,E4)</f>
        <v>33.3333333</v>
      </c>
      <c r="G4" s="3">
        <f>Lösungen!D3</f>
        <v>1</v>
      </c>
      <c r="H4" s="3">
        <f>PRODUCT(B4,G4)</f>
        <v>11.1111111</v>
      </c>
    </row>
    <row r="5" spans="1:8" x14ac:dyDescent="0.25">
      <c r="A5" s="3" t="s">
        <v>8</v>
      </c>
      <c r="B5" s="3">
        <v>11.1111111</v>
      </c>
      <c r="C5" s="3">
        <f>Lösungen!B4</f>
        <v>1</v>
      </c>
      <c r="D5" s="3">
        <f t="shared" ref="D5:D9" si="0">PRODUCT(B5,C5)</f>
        <v>11.1111111</v>
      </c>
      <c r="E5" s="3">
        <f>Lösungen!C4</f>
        <v>3</v>
      </c>
      <c r="F5" s="3">
        <f t="shared" ref="F5:F9" si="1">PRODUCT(B5,E5)</f>
        <v>33.3333333</v>
      </c>
      <c r="G5" s="3">
        <f>Lösungen!D4</f>
        <v>2</v>
      </c>
      <c r="H5" s="3">
        <f t="shared" ref="H5:H9" si="2">PRODUCT(B5,G5)</f>
        <v>22.222222200000001</v>
      </c>
    </row>
    <row r="6" spans="1:8" x14ac:dyDescent="0.25">
      <c r="A6" s="3" t="s">
        <v>2</v>
      </c>
      <c r="B6" s="3">
        <v>11.1111111</v>
      </c>
      <c r="C6" s="3">
        <f>Lösungen!B5</f>
        <v>3</v>
      </c>
      <c r="D6" s="3">
        <f t="shared" si="0"/>
        <v>33.3333333</v>
      </c>
      <c r="E6" s="3">
        <f>Lösungen!C5</f>
        <v>3</v>
      </c>
      <c r="F6" s="3">
        <f t="shared" si="1"/>
        <v>33.3333333</v>
      </c>
      <c r="G6" s="3">
        <f>Lösungen!D5</f>
        <v>3</v>
      </c>
      <c r="H6" s="3">
        <f t="shared" si="2"/>
        <v>33.3333333</v>
      </c>
    </row>
    <row r="7" spans="1:8" x14ac:dyDescent="0.25">
      <c r="A7" s="3" t="s">
        <v>3</v>
      </c>
      <c r="B7" s="3">
        <v>11.1111111</v>
      </c>
      <c r="C7" s="3">
        <f>Lösungen!B6</f>
        <v>3</v>
      </c>
      <c r="D7" s="3">
        <f t="shared" si="0"/>
        <v>33.3333333</v>
      </c>
      <c r="E7" s="3">
        <f>Lösungen!C6</f>
        <v>2</v>
      </c>
      <c r="F7" s="3">
        <f t="shared" si="1"/>
        <v>22.222222200000001</v>
      </c>
      <c r="G7" s="3">
        <f>Lösungen!D6</f>
        <v>2</v>
      </c>
      <c r="H7" s="3">
        <f t="shared" si="2"/>
        <v>22.222222200000001</v>
      </c>
    </row>
    <row r="8" spans="1:8" x14ac:dyDescent="0.25">
      <c r="A8" s="3" t="s">
        <v>10</v>
      </c>
      <c r="B8" s="3"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>
        <v>11.1111111</v>
      </c>
      <c r="C9" s="3">
        <f>Lösungen!B8</f>
        <v>2</v>
      </c>
      <c r="D9" s="3">
        <f t="shared" si="0"/>
        <v>22.222222200000001</v>
      </c>
      <c r="E9" s="3">
        <f>Lösungen!C8</f>
        <v>3</v>
      </c>
      <c r="F9" s="3">
        <f t="shared" si="1"/>
        <v>33.3333333</v>
      </c>
      <c r="G9" s="3">
        <f>Lösungen!D8</f>
        <v>1</v>
      </c>
      <c r="H9" s="3">
        <f t="shared" si="2"/>
        <v>11.1111111</v>
      </c>
    </row>
    <row r="10" spans="1:8" x14ac:dyDescent="0.25">
      <c r="A10" s="3" t="s">
        <v>15</v>
      </c>
      <c r="B10" s="3">
        <v>11.1111111</v>
      </c>
      <c r="C10" s="3">
        <f>Lösungen!B9</f>
        <v>2</v>
      </c>
      <c r="D10" s="3">
        <f>PRODUCT(B10,C10)</f>
        <v>22.222222200000001</v>
      </c>
      <c r="E10" s="3">
        <f>Lösungen!C9</f>
        <v>3</v>
      </c>
      <c r="F10" s="3">
        <f>PRODUCT(B10,E10)</f>
        <v>33.3333333</v>
      </c>
      <c r="G10" s="3">
        <f>Lösungen!D9</f>
        <v>1</v>
      </c>
      <c r="H10" s="3">
        <f>PRODUCT(B10,G10)</f>
        <v>11.1111111</v>
      </c>
    </row>
    <row r="11" spans="1:8" x14ac:dyDescent="0.25">
      <c r="A11" s="3" t="s">
        <v>20</v>
      </c>
      <c r="B11" s="3">
        <v>11.1111111</v>
      </c>
      <c r="C11" s="3">
        <f>Lösungen!B10</f>
        <v>3</v>
      </c>
      <c r="D11" s="3">
        <f>PRODUCT(B11,C11)</f>
        <v>33.3333333</v>
      </c>
      <c r="E11" s="3">
        <f>Lösungen!C10</f>
        <v>1</v>
      </c>
      <c r="F11" s="3">
        <f>PRODUCT(B11,E11)</f>
        <v>11.1111111</v>
      </c>
      <c r="G11" s="3">
        <f>Lösungen!D10</f>
        <v>2</v>
      </c>
      <c r="H11" s="3">
        <f>PRODUCT(B11,G11)</f>
        <v>22.222222200000001</v>
      </c>
    </row>
    <row r="12" spans="1:8" x14ac:dyDescent="0.25">
      <c r="A12" s="3" t="s">
        <v>6</v>
      </c>
      <c r="B12" s="3">
        <v>11.1111111</v>
      </c>
      <c r="C12" s="3">
        <f>Lösungen!B11</f>
        <v>3</v>
      </c>
      <c r="D12" s="3">
        <f t="shared" ref="D12" si="3">PRODUCT(B12,C12)</f>
        <v>33.3333333</v>
      </c>
      <c r="E12" s="3">
        <f>Lösungen!C11</f>
        <v>1</v>
      </c>
      <c r="F12" s="3">
        <f t="shared" ref="F12" si="4">PRODUCT(B12,E12)</f>
        <v>11.1111111</v>
      </c>
      <c r="G12" s="3">
        <f>Lösungen!D11</f>
        <v>2</v>
      </c>
      <c r="H12" s="3">
        <f t="shared" ref="H12" si="5">PRODUCT(B12,G12)</f>
        <v>22.222222200000001</v>
      </c>
    </row>
    <row r="13" spans="1:8" x14ac:dyDescent="0.25">
      <c r="A13" s="6" t="s">
        <v>13</v>
      </c>
      <c r="B13" s="6">
        <f>SUM(B3:B12)</f>
        <v>99.999999900000006</v>
      </c>
      <c r="C13" s="6"/>
      <c r="D13" s="6">
        <f t="shared" ref="D13:H13" si="6">SUM(D3:D12)</f>
        <v>233.3333331</v>
      </c>
      <c r="E13" s="6"/>
      <c r="F13" s="6">
        <f t="shared" si="6"/>
        <v>233.33333309999995</v>
      </c>
      <c r="G13" s="6"/>
      <c r="H13" s="6">
        <f t="shared" si="6"/>
        <v>188.8888887</v>
      </c>
    </row>
    <row r="14" spans="1:8" x14ac:dyDescent="0.25">
      <c r="A14" s="6" t="s">
        <v>24</v>
      </c>
      <c r="B14" s="6"/>
      <c r="C14" s="6"/>
      <c r="D14" s="6">
        <f>(D13-100)/2</f>
        <v>66.666666550000002</v>
      </c>
      <c r="E14" s="6"/>
      <c r="F14" s="6">
        <f>(F13-100)/2</f>
        <v>66.666666549999974</v>
      </c>
      <c r="G14" s="6"/>
      <c r="H14" s="6">
        <f>(H13-100)/2</f>
        <v>44.444444349999998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1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F71C-DFA9-4483-8482-DC0F39D93A94}">
  <dimension ref="A1:H16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5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5</v>
      </c>
      <c r="C3" s="3">
        <f>Lösungen!B2</f>
        <v>1</v>
      </c>
      <c r="D3" s="3">
        <f>PRODUCT(B3,C3)</f>
        <v>5</v>
      </c>
      <c r="E3" s="3">
        <f>Lösungen!C2</f>
        <v>2</v>
      </c>
      <c r="F3" s="3">
        <f>PRODUCT(B3,E3)</f>
        <v>10</v>
      </c>
      <c r="G3" s="3">
        <f>Lösungen!D2</f>
        <v>3</v>
      </c>
      <c r="H3" s="3">
        <f>PRODUCT(B3,G3)</f>
        <v>15</v>
      </c>
    </row>
    <row r="4" spans="1:8" x14ac:dyDescent="0.25">
      <c r="A4" s="3" t="s">
        <v>7</v>
      </c>
      <c r="B4" s="3" cm="1">
        <f t="array" ref="B4">INDEX(Szenarien!B:K, $B$1+1, 2)</f>
        <v>15</v>
      </c>
      <c r="C4" s="3">
        <f>Lösungen!B3</f>
        <v>3</v>
      </c>
      <c r="D4" s="3">
        <f>PRODUCT(B4,C4)</f>
        <v>45</v>
      </c>
      <c r="E4" s="3">
        <f>Lösungen!C3</f>
        <v>3</v>
      </c>
      <c r="F4" s="3">
        <f>PRODUCT(B4,E4)</f>
        <v>45</v>
      </c>
      <c r="G4" s="3">
        <f>Lösungen!D3</f>
        <v>1</v>
      </c>
      <c r="H4" s="3">
        <f>PRODUCT(B4,G4)</f>
        <v>15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15</v>
      </c>
      <c r="C8" s="3">
        <f>Lösungen!B7</f>
        <v>3</v>
      </c>
      <c r="D8" s="3">
        <f t="shared" si="0"/>
        <v>45</v>
      </c>
      <c r="E8" s="3">
        <f>Lösungen!C7</f>
        <v>2</v>
      </c>
      <c r="F8" s="3">
        <f t="shared" si="1"/>
        <v>30</v>
      </c>
      <c r="G8" s="3">
        <f>Lösungen!D7</f>
        <v>1</v>
      </c>
      <c r="H8" s="3">
        <f t="shared" si="2"/>
        <v>15</v>
      </c>
    </row>
    <row r="9" spans="1:8" x14ac:dyDescent="0.25">
      <c r="A9" s="3" t="s">
        <v>5</v>
      </c>
      <c r="B9" s="3" cm="1">
        <f t="array" ref="B9">INDEX(Szenarien!B:K, $B$1+1, 7)</f>
        <v>10</v>
      </c>
      <c r="C9" s="3">
        <f>Lösungen!B8</f>
        <v>2</v>
      </c>
      <c r="D9" s="3">
        <f t="shared" si="0"/>
        <v>20</v>
      </c>
      <c r="E9" s="3">
        <f>Lösungen!C8</f>
        <v>3</v>
      </c>
      <c r="F9" s="3">
        <f t="shared" si="1"/>
        <v>30</v>
      </c>
      <c r="G9" s="3">
        <f>Lösungen!D8</f>
        <v>1</v>
      </c>
      <c r="H9" s="3">
        <f t="shared" si="2"/>
        <v>10</v>
      </c>
    </row>
    <row r="10" spans="1:8" x14ac:dyDescent="0.25">
      <c r="A10" s="3" t="s">
        <v>15</v>
      </c>
      <c r="B10" s="3" cm="1">
        <f t="array" ref="B10">INDEX(Szenarien!B:K, $B$1+1, 8)</f>
        <v>5</v>
      </c>
      <c r="C10" s="3">
        <f>Lösungen!B9</f>
        <v>2</v>
      </c>
      <c r="D10" s="3">
        <f>PRODUCT(B10,C10)</f>
        <v>10</v>
      </c>
      <c r="E10" s="3">
        <f>Lösungen!C9</f>
        <v>3</v>
      </c>
      <c r="F10" s="3">
        <f>PRODUCT(B10,E10)</f>
        <v>15</v>
      </c>
      <c r="G10" s="3">
        <f>Lösungen!D9</f>
        <v>1</v>
      </c>
      <c r="H10" s="3">
        <f>PRODUCT(B10,G10)</f>
        <v>5</v>
      </c>
    </row>
    <row r="11" spans="1:8" x14ac:dyDescent="0.25">
      <c r="A11" s="3" t="s">
        <v>20</v>
      </c>
      <c r="B11" s="3" cm="1">
        <f t="array" ref="B11">INDEX(Szenarien!B:K, $B$1+1, 9)</f>
        <v>5</v>
      </c>
      <c r="C11" s="3">
        <f>Lösungen!B10</f>
        <v>3</v>
      </c>
      <c r="D11" s="3">
        <f>PRODUCT(B11,C11)</f>
        <v>15</v>
      </c>
      <c r="E11" s="3">
        <f>Lösungen!C10</f>
        <v>1</v>
      </c>
      <c r="F11" s="3">
        <f>PRODUCT(B11,E11)</f>
        <v>5</v>
      </c>
      <c r="G11" s="3">
        <f>Lösungen!D10</f>
        <v>2</v>
      </c>
      <c r="H11" s="3">
        <f>PRODUCT(B11,G11)</f>
        <v>10</v>
      </c>
    </row>
    <row r="12" spans="1:8" x14ac:dyDescent="0.25">
      <c r="A12" s="3" t="s">
        <v>6</v>
      </c>
      <c r="B12" s="3" cm="1">
        <f t="array" ref="B12">INDEX(Szenarien!B:K, $B$1+1, 10)</f>
        <v>10</v>
      </c>
      <c r="C12" s="3">
        <f>Lösungen!B11</f>
        <v>3</v>
      </c>
      <c r="D12" s="3">
        <f t="shared" ref="D12" si="3">PRODUCT(B12,C12)</f>
        <v>30</v>
      </c>
      <c r="E12" s="3">
        <f>Lösungen!C11</f>
        <v>1</v>
      </c>
      <c r="F12" s="3">
        <f t="shared" ref="F12" si="4">PRODUCT(B12,E12)</f>
        <v>10</v>
      </c>
      <c r="G12" s="3">
        <f>Lösungen!D11</f>
        <v>2</v>
      </c>
      <c r="H12" s="3">
        <f t="shared" ref="H12" si="5">PRODUCT(B12,G12)</f>
        <v>20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255</v>
      </c>
      <c r="E13" s="6"/>
      <c r="F13" s="6">
        <f t="shared" si="6"/>
        <v>235</v>
      </c>
      <c r="G13" s="6"/>
      <c r="H13" s="6">
        <f t="shared" si="6"/>
        <v>170</v>
      </c>
    </row>
    <row r="14" spans="1:8" x14ac:dyDescent="0.25">
      <c r="A14" s="6" t="s">
        <v>24</v>
      </c>
      <c r="B14" s="6"/>
      <c r="C14" s="6"/>
      <c r="D14" s="6">
        <f>(D13-100)/2</f>
        <v>77.5</v>
      </c>
      <c r="E14" s="6"/>
      <c r="F14" s="6">
        <f>(F13-100)/2</f>
        <v>67.5</v>
      </c>
      <c r="G14" s="6"/>
      <c r="H14" s="6">
        <f>(H13-100)/2</f>
        <v>35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2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8FD4-0E48-4BC3-A71A-44B08418BCE9}">
  <dimension ref="A1:H16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5" t="s">
        <v>18</v>
      </c>
      <c r="B1" s="5">
        <v>6</v>
      </c>
      <c r="C1" s="14" t="s">
        <v>21</v>
      </c>
      <c r="D1" s="14"/>
      <c r="E1" s="14" t="s">
        <v>12</v>
      </c>
      <c r="F1" s="14"/>
      <c r="G1" s="14" t="s">
        <v>17</v>
      </c>
      <c r="H1" s="14"/>
    </row>
    <row r="2" spans="1:8" x14ac:dyDescent="0.25">
      <c r="A2" s="5" t="s">
        <v>9</v>
      </c>
      <c r="B2" s="5" t="s">
        <v>11</v>
      </c>
      <c r="C2" s="5" t="s">
        <v>23</v>
      </c>
      <c r="D2" s="5" t="s">
        <v>22</v>
      </c>
      <c r="E2" s="5" t="s">
        <v>23</v>
      </c>
      <c r="F2" s="5" t="s">
        <v>22</v>
      </c>
      <c r="G2" s="5" t="s">
        <v>23</v>
      </c>
      <c r="H2" s="5" t="s">
        <v>22</v>
      </c>
    </row>
    <row r="3" spans="1:8" x14ac:dyDescent="0.25">
      <c r="A3" s="3" t="s">
        <v>1</v>
      </c>
      <c r="B3" s="3" cm="1">
        <f t="array" ref="B3">INDEX(Szenarien!B:K, $B$1+1, 1)</f>
        <v>10</v>
      </c>
      <c r="C3" s="3">
        <f>Lösungen!B2</f>
        <v>1</v>
      </c>
      <c r="D3" s="3">
        <f>PRODUCT(B3,C3)</f>
        <v>10</v>
      </c>
      <c r="E3" s="3">
        <f>Lösungen!C2</f>
        <v>2</v>
      </c>
      <c r="F3" s="3">
        <f>PRODUCT(B3,E3)</f>
        <v>20</v>
      </c>
      <c r="G3" s="3">
        <f>Lösungen!D2</f>
        <v>3</v>
      </c>
      <c r="H3" s="3">
        <f>PRODUCT(B3,G3)</f>
        <v>30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10</v>
      </c>
      <c r="C7" s="3">
        <f>Lösungen!B6</f>
        <v>3</v>
      </c>
      <c r="D7" s="3">
        <f t="shared" si="0"/>
        <v>30</v>
      </c>
      <c r="E7" s="3">
        <f>Lösungen!C6</f>
        <v>2</v>
      </c>
      <c r="F7" s="3">
        <f t="shared" si="1"/>
        <v>20</v>
      </c>
      <c r="G7" s="3">
        <f>Lösungen!D6</f>
        <v>2</v>
      </c>
      <c r="H7" s="3">
        <f t="shared" si="2"/>
        <v>20</v>
      </c>
    </row>
    <row r="8" spans="1:8" x14ac:dyDescent="0.25">
      <c r="A8" s="3" t="s">
        <v>10</v>
      </c>
      <c r="B8" s="3" cm="1">
        <f t="array" ref="B8">INDEX(Szenarien!B:K, $B$1+1, 6)</f>
        <v>10</v>
      </c>
      <c r="C8" s="3">
        <f>Lösungen!B7</f>
        <v>3</v>
      </c>
      <c r="D8" s="3">
        <f t="shared" si="0"/>
        <v>30</v>
      </c>
      <c r="E8" s="3">
        <f>Lösungen!C7</f>
        <v>2</v>
      </c>
      <c r="F8" s="3">
        <f t="shared" si="1"/>
        <v>20</v>
      </c>
      <c r="G8" s="3">
        <f>Lösungen!D7</f>
        <v>1</v>
      </c>
      <c r="H8" s="3">
        <f t="shared" si="2"/>
        <v>10</v>
      </c>
    </row>
    <row r="9" spans="1:8" x14ac:dyDescent="0.25">
      <c r="A9" s="3" t="s">
        <v>5</v>
      </c>
      <c r="B9" s="3" cm="1">
        <f t="array" ref="B9">INDEX(Szenarien!B:K, $B$1+1, 7)</f>
        <v>10</v>
      </c>
      <c r="C9" s="3">
        <f>Lösungen!B8</f>
        <v>2</v>
      </c>
      <c r="D9" s="3">
        <f t="shared" si="0"/>
        <v>20</v>
      </c>
      <c r="E9" s="3">
        <f>Lösungen!C8</f>
        <v>3</v>
      </c>
      <c r="F9" s="3">
        <f t="shared" si="1"/>
        <v>30</v>
      </c>
      <c r="G9" s="3">
        <f>Lösungen!D8</f>
        <v>1</v>
      </c>
      <c r="H9" s="3">
        <f t="shared" si="2"/>
        <v>10</v>
      </c>
    </row>
    <row r="10" spans="1:8" x14ac:dyDescent="0.25">
      <c r="A10" s="3" t="s">
        <v>15</v>
      </c>
      <c r="B10" s="3" cm="1">
        <f t="array" ref="B10">INDEX(Szenarien!B:K, $B$1+1, 8)</f>
        <v>10</v>
      </c>
      <c r="C10" s="3">
        <f>Lösungen!B9</f>
        <v>2</v>
      </c>
      <c r="D10" s="3">
        <f>PRODUCT(B10,C10)</f>
        <v>20</v>
      </c>
      <c r="E10" s="3">
        <f>Lösungen!C9</f>
        <v>3</v>
      </c>
      <c r="F10" s="3">
        <f>PRODUCT(B10,E10)</f>
        <v>30</v>
      </c>
      <c r="G10" s="3">
        <f>Lösungen!D9</f>
        <v>1</v>
      </c>
      <c r="H10" s="3">
        <f>PRODUCT(B10,G10)</f>
        <v>10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10</v>
      </c>
      <c r="C12" s="3">
        <f>Lösungen!B11</f>
        <v>3</v>
      </c>
      <c r="D12" s="3">
        <f t="shared" ref="D12" si="3">PRODUCT(B12,C12)</f>
        <v>30</v>
      </c>
      <c r="E12" s="3">
        <f>Lösungen!C11</f>
        <v>1</v>
      </c>
      <c r="F12" s="3">
        <f t="shared" ref="F12" si="4">PRODUCT(B12,E12)</f>
        <v>10</v>
      </c>
      <c r="G12" s="3">
        <f>Lösungen!D11</f>
        <v>2</v>
      </c>
      <c r="H12" s="3">
        <f t="shared" ref="H12" si="5">PRODUCT(B12,G12)</f>
        <v>20</v>
      </c>
    </row>
    <row r="13" spans="1:8" x14ac:dyDescent="0.25">
      <c r="A13" s="6" t="s">
        <v>13</v>
      </c>
      <c r="B13" s="6">
        <f>SUM(B3:B12)</f>
        <v>100</v>
      </c>
      <c r="C13" s="6"/>
      <c r="D13" s="6">
        <f t="shared" ref="D13:H13" si="6">SUM(D3:D12)</f>
        <v>240</v>
      </c>
      <c r="E13" s="6"/>
      <c r="F13" s="6">
        <f t="shared" si="6"/>
        <v>230</v>
      </c>
      <c r="G13" s="6"/>
      <c r="H13" s="6">
        <f t="shared" si="6"/>
        <v>180</v>
      </c>
    </row>
    <row r="14" spans="1:8" x14ac:dyDescent="0.25">
      <c r="A14" s="6" t="s">
        <v>24</v>
      </c>
      <c r="B14" s="6"/>
      <c r="C14" s="6"/>
      <c r="D14" s="6">
        <f>(D13-100)/2</f>
        <v>70</v>
      </c>
      <c r="E14" s="6"/>
      <c r="F14" s="6">
        <f>(F13-100)/2</f>
        <v>65</v>
      </c>
      <c r="G14" s="6"/>
      <c r="H14" s="6">
        <f>(H13-100)/2</f>
        <v>40</v>
      </c>
    </row>
    <row r="15" spans="1:8" x14ac:dyDescent="0.25">
      <c r="A15" s="6" t="s">
        <v>14</v>
      </c>
      <c r="B15" s="6"/>
      <c r="C15" s="6"/>
      <c r="D15" s="6">
        <f>1+(F13&gt;D13)+(H13&gt;D13)</f>
        <v>1</v>
      </c>
      <c r="E15" s="6"/>
      <c r="F15" s="6">
        <f>1+(D13&gt;F13)+(H13&gt;F13)</f>
        <v>2</v>
      </c>
      <c r="G15" s="6"/>
      <c r="H15" s="6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Szenarien</vt:lpstr>
      <vt:lpstr>Lösungen</vt:lpstr>
      <vt:lpstr>Vorlage</vt:lpstr>
      <vt:lpstr>Szenario 1</vt:lpstr>
      <vt:lpstr>Szenario 1 - Referenz</vt:lpstr>
      <vt:lpstr>Szenario 2</vt:lpstr>
      <vt:lpstr>Szenario 2 - Referenz</vt:lpstr>
      <vt:lpstr>Szenario 3</vt:lpstr>
      <vt:lpstr>Szenario 3 - Referenz</vt:lpstr>
      <vt:lpstr>Szenario 4</vt:lpstr>
      <vt:lpstr>Szenario 4 - Referenz</vt:lpstr>
      <vt:lpstr>Szenario 5</vt:lpstr>
      <vt:lpstr>Szenario 5 - Referenz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2026-08-05T19:32:00Z</dcterms:modified>
</cp:coreProperties>
</file>