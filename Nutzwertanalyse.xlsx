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hkvm1\niclas$\Studium\Bachelorarbeit\"/>
    </mc:Choice>
  </mc:AlternateContent>
  <xr:revisionPtr revIDLastSave="0" documentId="8_{07ADA279-FDEA-4443-8009-F886D968C4FD}" xr6:coauthVersionLast="47" xr6:coauthVersionMax="47" xr10:uidLastSave="{00000000-0000-0000-0000-000000000000}"/>
  <bookViews>
    <workbookView xWindow="-120" yWindow="-120" windowWidth="38640" windowHeight="21120" activeTab="2" xr2:uid="{20C679E4-C9D8-48C4-B659-4235CD5DE514}"/>
  </bookViews>
  <sheets>
    <sheet name="Szenarien_old1" sheetId="14" r:id="rId1"/>
    <sheet name="Szenarien" sheetId="1" r:id="rId2"/>
    <sheet name="Lösungen" sheetId="7" r:id="rId3"/>
    <sheet name="Vorlage" sheetId="2" r:id="rId4"/>
    <sheet name="Szenario 1" sheetId="9" r:id="rId5"/>
    <sheet name="Szenario 2" sheetId="10" r:id="rId6"/>
    <sheet name="Szenario 3" sheetId="11" r:id="rId7"/>
    <sheet name="Szenario 4" sheetId="12" r:id="rId8"/>
    <sheet name="Szenario 5" sheetId="13" r:id="rId9"/>
    <sheet name="Szenario 0 - Neutral" sheetId="15" r:id="rId10"/>
    <sheet name="TEMP" sheetId="1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15" l="1"/>
  <c r="E12" i="15"/>
  <c r="C12" i="15"/>
  <c r="B12" i="15" a="1"/>
  <c r="B12" i="15" s="1"/>
  <c r="G11" i="15"/>
  <c r="E11" i="15"/>
  <c r="C11" i="15"/>
  <c r="B11" i="15" a="1"/>
  <c r="B11" i="15" s="1"/>
  <c r="G10" i="15"/>
  <c r="E10" i="15"/>
  <c r="C10" i="15"/>
  <c r="B10" i="15" a="1"/>
  <c r="B10" i="15" s="1"/>
  <c r="G9" i="15"/>
  <c r="E9" i="15"/>
  <c r="C9" i="15"/>
  <c r="B9" i="15" a="1"/>
  <c r="B9" i="15" s="1"/>
  <c r="G8" i="15"/>
  <c r="E8" i="15"/>
  <c r="C8" i="15"/>
  <c r="B8" i="15" a="1"/>
  <c r="B8" i="15" s="1"/>
  <c r="G7" i="15"/>
  <c r="E7" i="15"/>
  <c r="C7" i="15"/>
  <c r="B7" i="15" a="1"/>
  <c r="B7" i="15" s="1"/>
  <c r="G6" i="15"/>
  <c r="E6" i="15"/>
  <c r="C6" i="15"/>
  <c r="B6" i="15" a="1"/>
  <c r="B6" i="15" s="1"/>
  <c r="G5" i="15"/>
  <c r="E5" i="15"/>
  <c r="C5" i="15"/>
  <c r="B5" i="15" a="1"/>
  <c r="B5" i="15" s="1"/>
  <c r="G4" i="15"/>
  <c r="E4" i="15"/>
  <c r="C4" i="15"/>
  <c r="B4" i="15" a="1"/>
  <c r="B4" i="15" s="1"/>
  <c r="G3" i="15"/>
  <c r="E3" i="15"/>
  <c r="C3" i="15"/>
  <c r="B3" i="15" a="1"/>
  <c r="B3" i="15" s="1"/>
  <c r="K8" i="1"/>
  <c r="L7" i="1"/>
  <c r="J8" i="1"/>
  <c r="I8" i="1"/>
  <c r="H8" i="1"/>
  <c r="G8" i="1"/>
  <c r="F8" i="1"/>
  <c r="E8" i="1"/>
  <c r="D8" i="1"/>
  <c r="C8" i="1"/>
  <c r="B8" i="1"/>
  <c r="B3" i="9" a="1"/>
  <c r="B3" i="9" s="1"/>
  <c r="K7" i="14"/>
  <c r="J7" i="14"/>
  <c r="I7" i="14"/>
  <c r="H7" i="14"/>
  <c r="G7" i="14"/>
  <c r="F7" i="14"/>
  <c r="E7" i="14"/>
  <c r="D7" i="14"/>
  <c r="C7" i="14"/>
  <c r="B7" i="14"/>
  <c r="M7" i="14" s="1"/>
  <c r="L6" i="14"/>
  <c r="L5" i="14"/>
  <c r="L4" i="14"/>
  <c r="L3" i="14"/>
  <c r="L2" i="14"/>
  <c r="M2" i="14" s="1"/>
  <c r="G12" i="13"/>
  <c r="E12" i="13"/>
  <c r="C12" i="13"/>
  <c r="B12" i="13" a="1"/>
  <c r="B12" i="13" s="1"/>
  <c r="G11" i="13"/>
  <c r="E11" i="13"/>
  <c r="C11" i="13"/>
  <c r="B11" i="13" a="1"/>
  <c r="B11" i="13" s="1"/>
  <c r="G10" i="13"/>
  <c r="E10" i="13"/>
  <c r="C10" i="13"/>
  <c r="B10" i="13" a="1"/>
  <c r="B10" i="13" s="1"/>
  <c r="G9" i="13"/>
  <c r="E9" i="13"/>
  <c r="C9" i="13"/>
  <c r="B9" i="13" a="1"/>
  <c r="B9" i="13" s="1"/>
  <c r="G8" i="13"/>
  <c r="E8" i="13"/>
  <c r="C8" i="13"/>
  <c r="B8" i="13" a="1"/>
  <c r="B8" i="13" s="1"/>
  <c r="G7" i="13"/>
  <c r="E7" i="13"/>
  <c r="C7" i="13"/>
  <c r="B7" i="13" a="1"/>
  <c r="B7" i="13" s="1"/>
  <c r="G6" i="13"/>
  <c r="E6" i="13"/>
  <c r="C6" i="13"/>
  <c r="B6" i="13" a="1"/>
  <c r="B6" i="13" s="1"/>
  <c r="G5" i="13"/>
  <c r="E5" i="13"/>
  <c r="C5" i="13"/>
  <c r="B5" i="13" a="1"/>
  <c r="B5" i="13" s="1"/>
  <c r="G4" i="13"/>
  <c r="E4" i="13"/>
  <c r="C4" i="13"/>
  <c r="B4" i="13" a="1"/>
  <c r="B4" i="13" s="1"/>
  <c r="G3" i="13"/>
  <c r="E3" i="13"/>
  <c r="C3" i="13"/>
  <c r="B3" i="13" a="1"/>
  <c r="B3" i="13" s="1"/>
  <c r="G12" i="12"/>
  <c r="E12" i="12"/>
  <c r="C12" i="12"/>
  <c r="B12" i="12" a="1"/>
  <c r="B12" i="12" s="1"/>
  <c r="G11" i="12"/>
  <c r="E11" i="12"/>
  <c r="C11" i="12"/>
  <c r="B11" i="12" a="1"/>
  <c r="B11" i="12" s="1"/>
  <c r="G10" i="12"/>
  <c r="E10" i="12"/>
  <c r="C10" i="12"/>
  <c r="B10" i="12" a="1"/>
  <c r="B10" i="12" s="1"/>
  <c r="G9" i="12"/>
  <c r="E9" i="12"/>
  <c r="C9" i="12"/>
  <c r="B9" i="12" a="1"/>
  <c r="B9" i="12" s="1"/>
  <c r="G8" i="12"/>
  <c r="E8" i="12"/>
  <c r="C8" i="12"/>
  <c r="B8" i="12" a="1"/>
  <c r="B8" i="12" s="1"/>
  <c r="G7" i="12"/>
  <c r="E7" i="12"/>
  <c r="C7" i="12"/>
  <c r="B7" i="12" a="1"/>
  <c r="B7" i="12" s="1"/>
  <c r="G6" i="12"/>
  <c r="E6" i="12"/>
  <c r="C6" i="12"/>
  <c r="B6" i="12" a="1"/>
  <c r="B6" i="12" s="1"/>
  <c r="G5" i="12"/>
  <c r="E5" i="12"/>
  <c r="C5" i="12"/>
  <c r="B5" i="12" a="1"/>
  <c r="B5" i="12" s="1"/>
  <c r="G4" i="12"/>
  <c r="E4" i="12"/>
  <c r="C4" i="12"/>
  <c r="B4" i="12" a="1"/>
  <c r="B4" i="12" s="1"/>
  <c r="G3" i="12"/>
  <c r="E3" i="12"/>
  <c r="C3" i="12"/>
  <c r="B3" i="12" a="1"/>
  <c r="B3" i="12" s="1"/>
  <c r="G12" i="11"/>
  <c r="E12" i="11"/>
  <c r="C12" i="11"/>
  <c r="B12" i="11" a="1"/>
  <c r="B12" i="11" s="1"/>
  <c r="G11" i="11"/>
  <c r="E11" i="11"/>
  <c r="C11" i="11"/>
  <c r="B11" i="11" a="1"/>
  <c r="B11" i="11" s="1"/>
  <c r="G10" i="11"/>
  <c r="E10" i="11"/>
  <c r="C10" i="11"/>
  <c r="B10" i="11" a="1"/>
  <c r="B10" i="11" s="1"/>
  <c r="G9" i="11"/>
  <c r="E9" i="11"/>
  <c r="C9" i="11"/>
  <c r="B9" i="11" a="1"/>
  <c r="B9" i="11" s="1"/>
  <c r="G8" i="11"/>
  <c r="E8" i="11"/>
  <c r="C8" i="11"/>
  <c r="B8" i="11" a="1"/>
  <c r="B8" i="11" s="1"/>
  <c r="G7" i="11"/>
  <c r="E7" i="11"/>
  <c r="C7" i="11"/>
  <c r="B7" i="11" a="1"/>
  <c r="B7" i="11" s="1"/>
  <c r="G6" i="11"/>
  <c r="E6" i="11"/>
  <c r="C6" i="11"/>
  <c r="B6" i="11" a="1"/>
  <c r="B6" i="11" s="1"/>
  <c r="G5" i="11"/>
  <c r="E5" i="11"/>
  <c r="C5" i="11"/>
  <c r="B5" i="11" a="1"/>
  <c r="B5" i="11" s="1"/>
  <c r="G4" i="11"/>
  <c r="E4" i="11"/>
  <c r="C4" i="11"/>
  <c r="B4" i="11" a="1"/>
  <c r="B4" i="11" s="1"/>
  <c r="G3" i="11"/>
  <c r="E3" i="11"/>
  <c r="C3" i="11"/>
  <c r="B3" i="11" a="1"/>
  <c r="B3" i="11" s="1"/>
  <c r="G12" i="10"/>
  <c r="E12" i="10"/>
  <c r="C12" i="10"/>
  <c r="B12" i="10" a="1"/>
  <c r="B12" i="10" s="1"/>
  <c r="G11" i="10"/>
  <c r="E11" i="10"/>
  <c r="C11" i="10"/>
  <c r="B11" i="10" a="1"/>
  <c r="B11" i="10" s="1"/>
  <c r="G10" i="10"/>
  <c r="E10" i="10"/>
  <c r="C10" i="10"/>
  <c r="B10" i="10" a="1"/>
  <c r="B10" i="10" s="1"/>
  <c r="G9" i="10"/>
  <c r="E9" i="10"/>
  <c r="C9" i="10"/>
  <c r="B9" i="10" a="1"/>
  <c r="B9" i="10" s="1"/>
  <c r="G8" i="10"/>
  <c r="E8" i="10"/>
  <c r="C8" i="10"/>
  <c r="B8" i="10" a="1"/>
  <c r="B8" i="10" s="1"/>
  <c r="G7" i="10"/>
  <c r="E7" i="10"/>
  <c r="C7" i="10"/>
  <c r="B7" i="10" a="1"/>
  <c r="B7" i="10" s="1"/>
  <c r="G6" i="10"/>
  <c r="E6" i="10"/>
  <c r="C6" i="10"/>
  <c r="B6" i="10" a="1"/>
  <c r="B6" i="10" s="1"/>
  <c r="G5" i="10"/>
  <c r="E5" i="10"/>
  <c r="C5" i="10"/>
  <c r="B5" i="10" a="1"/>
  <c r="B5" i="10" s="1"/>
  <c r="G4" i="10"/>
  <c r="E4" i="10"/>
  <c r="C4" i="10"/>
  <c r="B4" i="10" a="1"/>
  <c r="B4" i="10" s="1"/>
  <c r="G3" i="10"/>
  <c r="E3" i="10"/>
  <c r="C3" i="10"/>
  <c r="B3" i="10" a="1"/>
  <c r="B3" i="10" s="1"/>
  <c r="G12" i="9"/>
  <c r="E12" i="9"/>
  <c r="C12" i="9"/>
  <c r="B12" i="9" a="1"/>
  <c r="B12" i="9" s="1"/>
  <c r="G11" i="9"/>
  <c r="E11" i="9"/>
  <c r="C11" i="9"/>
  <c r="B11" i="9" a="1"/>
  <c r="B11" i="9" s="1"/>
  <c r="G10" i="9"/>
  <c r="E10" i="9"/>
  <c r="C10" i="9"/>
  <c r="B10" i="9" a="1"/>
  <c r="B10" i="9" s="1"/>
  <c r="G9" i="9"/>
  <c r="E9" i="9"/>
  <c r="C9" i="9"/>
  <c r="B9" i="9" a="1"/>
  <c r="B9" i="9" s="1"/>
  <c r="G8" i="9"/>
  <c r="E8" i="9"/>
  <c r="C8" i="9"/>
  <c r="B8" i="9" a="1"/>
  <c r="B8" i="9" s="1"/>
  <c r="G7" i="9"/>
  <c r="E7" i="9"/>
  <c r="C7" i="9"/>
  <c r="B7" i="9" a="1"/>
  <c r="B7" i="9" s="1"/>
  <c r="G6" i="9"/>
  <c r="E6" i="9"/>
  <c r="C6" i="9"/>
  <c r="B6" i="9" a="1"/>
  <c r="B6" i="9" s="1"/>
  <c r="G5" i="9"/>
  <c r="E5" i="9"/>
  <c r="C5" i="9"/>
  <c r="B5" i="9" a="1"/>
  <c r="B5" i="9" s="1"/>
  <c r="G4" i="9"/>
  <c r="E4" i="9"/>
  <c r="C4" i="9"/>
  <c r="B4" i="9" a="1"/>
  <c r="B4" i="9" s="1"/>
  <c r="G3" i="9"/>
  <c r="E3" i="9"/>
  <c r="C3" i="9"/>
  <c r="B12" i="2" a="1"/>
  <c r="B12" i="2" s="1"/>
  <c r="B11" i="2" a="1"/>
  <c r="B11" i="2" s="1"/>
  <c r="B10" i="2" a="1"/>
  <c r="B10" i="2" s="1"/>
  <c r="B9" i="2" a="1"/>
  <c r="B9" i="2" s="1"/>
  <c r="B8" i="2" a="1"/>
  <c r="B8" i="2" s="1"/>
  <c r="B7" i="2" a="1"/>
  <c r="B7" i="2" s="1"/>
  <c r="B6" i="2" a="1"/>
  <c r="B6" i="2" s="1"/>
  <c r="B5" i="2" a="1"/>
  <c r="B5" i="2" s="1"/>
  <c r="B4" i="2" a="1"/>
  <c r="B4" i="2" s="1"/>
  <c r="B3" i="2" a="1"/>
  <c r="B3" i="2" s="1"/>
  <c r="G4" i="2"/>
  <c r="G5" i="2"/>
  <c r="G6" i="2"/>
  <c r="G7" i="2"/>
  <c r="G8" i="2"/>
  <c r="G9" i="2"/>
  <c r="G10" i="2"/>
  <c r="G11" i="2"/>
  <c r="G12" i="2"/>
  <c r="G3" i="2"/>
  <c r="E4" i="2"/>
  <c r="E5" i="2"/>
  <c r="E6" i="2"/>
  <c r="E7" i="2"/>
  <c r="E8" i="2"/>
  <c r="E9" i="2"/>
  <c r="E10" i="2"/>
  <c r="E11" i="2"/>
  <c r="E12" i="2"/>
  <c r="E3" i="2"/>
  <c r="C5" i="2"/>
  <c r="C6" i="2"/>
  <c r="C7" i="2"/>
  <c r="C8" i="2"/>
  <c r="C9" i="2"/>
  <c r="C10" i="2"/>
  <c r="C11" i="2"/>
  <c r="C12" i="2"/>
  <c r="C4" i="2"/>
  <c r="C3" i="2"/>
  <c r="C12" i="7"/>
  <c r="D12" i="7"/>
  <c r="B12" i="7"/>
  <c r="L3" i="1"/>
  <c r="L4" i="1"/>
  <c r="L5" i="1"/>
  <c r="L6" i="1"/>
  <c r="L2" i="1"/>
  <c r="D5" i="15" l="1"/>
  <c r="H5" i="15"/>
  <c r="F5" i="15"/>
  <c r="H10" i="15"/>
  <c r="F10" i="15"/>
  <c r="D10" i="15"/>
  <c r="D7" i="15"/>
  <c r="H7" i="15"/>
  <c r="F7" i="15"/>
  <c r="H6" i="15"/>
  <c r="D6" i="15"/>
  <c r="F6" i="15"/>
  <c r="H4" i="15"/>
  <c r="F4" i="15"/>
  <c r="D4" i="15"/>
  <c r="D9" i="15"/>
  <c r="H9" i="15"/>
  <c r="F9" i="15"/>
  <c r="D11" i="15"/>
  <c r="F11" i="15"/>
  <c r="H11" i="15"/>
  <c r="H8" i="15"/>
  <c r="F8" i="15"/>
  <c r="D8" i="15"/>
  <c r="D3" i="15"/>
  <c r="H3" i="15"/>
  <c r="F3" i="15"/>
  <c r="B13" i="15"/>
  <c r="H12" i="15"/>
  <c r="F12" i="15"/>
  <c r="D12" i="15"/>
  <c r="D5" i="13"/>
  <c r="H5" i="13"/>
  <c r="F5" i="13"/>
  <c r="H4" i="13"/>
  <c r="F4" i="13"/>
  <c r="D4" i="13"/>
  <c r="D9" i="13"/>
  <c r="H9" i="13"/>
  <c r="F9" i="13"/>
  <c r="H10" i="13"/>
  <c r="D10" i="13"/>
  <c r="F10" i="13"/>
  <c r="D3" i="13"/>
  <c r="H3" i="13"/>
  <c r="B13" i="13"/>
  <c r="F3" i="13"/>
  <c r="D7" i="13"/>
  <c r="H7" i="13"/>
  <c r="F7" i="13"/>
  <c r="H12" i="13"/>
  <c r="F12" i="13"/>
  <c r="D12" i="13"/>
  <c r="D6" i="13"/>
  <c r="H6" i="13"/>
  <c r="F6" i="13"/>
  <c r="D11" i="13"/>
  <c r="F11" i="13"/>
  <c r="H11" i="13"/>
  <c r="H8" i="13"/>
  <c r="F8" i="13"/>
  <c r="D8" i="13"/>
  <c r="D9" i="12"/>
  <c r="F9" i="12"/>
  <c r="H9" i="12"/>
  <c r="D5" i="12"/>
  <c r="H5" i="12"/>
  <c r="F5" i="12"/>
  <c r="H10" i="12"/>
  <c r="F10" i="12"/>
  <c r="D10" i="12"/>
  <c r="D3" i="12"/>
  <c r="B13" i="12"/>
  <c r="F3" i="12"/>
  <c r="H3" i="12"/>
  <c r="H6" i="12"/>
  <c r="F6" i="12"/>
  <c r="D6" i="12"/>
  <c r="D7" i="12"/>
  <c r="H7" i="12"/>
  <c r="F7" i="12"/>
  <c r="H8" i="12"/>
  <c r="F8" i="12"/>
  <c r="D8" i="12"/>
  <c r="D11" i="12"/>
  <c r="H11" i="12"/>
  <c r="F11" i="12"/>
  <c r="F4" i="12"/>
  <c r="H4" i="12"/>
  <c r="D4" i="12"/>
  <c r="H12" i="12"/>
  <c r="F12" i="12"/>
  <c r="D12" i="12"/>
  <c r="D9" i="11"/>
  <c r="H9" i="11"/>
  <c r="F9" i="11"/>
  <c r="H10" i="11"/>
  <c r="F10" i="11"/>
  <c r="D10" i="11"/>
  <c r="D3" i="11"/>
  <c r="B13" i="11"/>
  <c r="F3" i="11"/>
  <c r="H3" i="11"/>
  <c r="D5" i="11"/>
  <c r="H5" i="11"/>
  <c r="F5" i="11"/>
  <c r="H6" i="11"/>
  <c r="F6" i="11"/>
  <c r="D6" i="11"/>
  <c r="D7" i="11"/>
  <c r="H7" i="11"/>
  <c r="F7" i="11"/>
  <c r="H12" i="11"/>
  <c r="F12" i="11"/>
  <c r="D12" i="11"/>
  <c r="D11" i="11"/>
  <c r="H11" i="11"/>
  <c r="F11" i="11"/>
  <c r="H4" i="11"/>
  <c r="F4" i="11"/>
  <c r="D4" i="11"/>
  <c r="H8" i="11"/>
  <c r="F8" i="11"/>
  <c r="D8" i="11"/>
  <c r="D9" i="10"/>
  <c r="F9" i="10"/>
  <c r="H9" i="10"/>
  <c r="D5" i="10"/>
  <c r="F5" i="10"/>
  <c r="H5" i="10"/>
  <c r="H6" i="10"/>
  <c r="F6" i="10"/>
  <c r="D6" i="10"/>
  <c r="D3" i="10"/>
  <c r="F3" i="10"/>
  <c r="H3" i="10"/>
  <c r="B13" i="10"/>
  <c r="D7" i="10"/>
  <c r="H7" i="10"/>
  <c r="F7" i="10"/>
  <c r="H4" i="10"/>
  <c r="F4" i="10"/>
  <c r="D4" i="10"/>
  <c r="H10" i="10"/>
  <c r="F10" i="10"/>
  <c r="D10" i="10"/>
  <c r="D11" i="10"/>
  <c r="F11" i="10"/>
  <c r="H11" i="10"/>
  <c r="H8" i="10"/>
  <c r="F8" i="10"/>
  <c r="D8" i="10"/>
  <c r="H12" i="10"/>
  <c r="F12" i="10"/>
  <c r="D12" i="10"/>
  <c r="D9" i="9"/>
  <c r="F9" i="9"/>
  <c r="H9" i="9"/>
  <c r="H10" i="9"/>
  <c r="F10" i="9"/>
  <c r="D10" i="9"/>
  <c r="D3" i="9"/>
  <c r="F3" i="9"/>
  <c r="B13" i="9"/>
  <c r="H3" i="9"/>
  <c r="D11" i="9"/>
  <c r="F11" i="9"/>
  <c r="H11" i="9"/>
  <c r="H4" i="9"/>
  <c r="F4" i="9"/>
  <c r="D4" i="9"/>
  <c r="H12" i="9"/>
  <c r="F12" i="9"/>
  <c r="D12" i="9"/>
  <c r="D5" i="9"/>
  <c r="F5" i="9"/>
  <c r="H5" i="9"/>
  <c r="H6" i="9"/>
  <c r="D6" i="9"/>
  <c r="F6" i="9"/>
  <c r="D7" i="9"/>
  <c r="H7" i="9"/>
  <c r="F7" i="9"/>
  <c r="H8" i="9"/>
  <c r="D8" i="9"/>
  <c r="F8" i="9"/>
  <c r="D11" i="2"/>
  <c r="D12" i="2"/>
  <c r="F9" i="2"/>
  <c r="D9" i="2"/>
  <c r="D10" i="2"/>
  <c r="F10" i="2"/>
  <c r="F8" i="2"/>
  <c r="H8" i="2"/>
  <c r="D8" i="2"/>
  <c r="H7" i="2"/>
  <c r="D7" i="2"/>
  <c r="F7" i="2"/>
  <c r="H6" i="2"/>
  <c r="F6" i="2"/>
  <c r="D6" i="2"/>
  <c r="F5" i="2"/>
  <c r="H5" i="2"/>
  <c r="D5" i="2"/>
  <c r="D4" i="2"/>
  <c r="H4" i="2"/>
  <c r="F4" i="2"/>
  <c r="H12" i="2"/>
  <c r="H11" i="2"/>
  <c r="H9" i="2"/>
  <c r="H10" i="2"/>
  <c r="F12" i="2"/>
  <c r="F11" i="2"/>
  <c r="D3" i="2"/>
  <c r="F3" i="2"/>
  <c r="B13" i="2"/>
  <c r="H3" i="2"/>
  <c r="M8" i="1"/>
  <c r="M2" i="1"/>
  <c r="F13" i="15" l="1"/>
  <c r="H13" i="15"/>
  <c r="D13" i="15"/>
  <c r="H13" i="13"/>
  <c r="F13" i="13"/>
  <c r="F13" i="12"/>
  <c r="D13" i="13"/>
  <c r="H13" i="12"/>
  <c r="D13" i="12"/>
  <c r="H13" i="11"/>
  <c r="D13" i="11"/>
  <c r="F13" i="11"/>
  <c r="D13" i="10"/>
  <c r="F13" i="10"/>
  <c r="H13" i="10"/>
  <c r="D13" i="9"/>
  <c r="F13" i="9"/>
  <c r="H13" i="9"/>
  <c r="D13" i="2"/>
  <c r="H13" i="2"/>
  <c r="F1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<sst xmlns="http://schemas.openxmlformats.org/spreadsheetml/2006/main" count="263" uniqueCount="42">
  <si>
    <t>Szenario</t>
  </si>
  <si>
    <t>Kosten</t>
  </si>
  <si>
    <t>Skalierbarkeit</t>
  </si>
  <si>
    <t>Hochverfügbarkeit</t>
  </si>
  <si>
    <t>Multi-Cloud-Fähigkeit</t>
  </si>
  <si>
    <t>Storage-Features</t>
  </si>
  <si>
    <t>Automatisierbarkeit</t>
  </si>
  <si>
    <t>Support</t>
  </si>
  <si>
    <t>Migrationsaufwand</t>
  </si>
  <si>
    <t>Kriterium</t>
  </si>
  <si>
    <t>Hochverfügbarkeit &amp; Ausfallsicherheit</t>
  </si>
  <si>
    <t>Hybrid-/Multi-Cloud-Fähigkeit</t>
  </si>
  <si>
    <t>Usabiltiy in der Administration</t>
  </si>
  <si>
    <t>Gewichtung</t>
  </si>
  <si>
    <t>Punkte</t>
  </si>
  <si>
    <t>Nutzwert-Punkte</t>
  </si>
  <si>
    <t>Vmware/Broadcom</t>
  </si>
  <si>
    <t>Nutanix</t>
  </si>
  <si>
    <t>Summe</t>
  </si>
  <si>
    <t>Rang</t>
  </si>
  <si>
    <t>SUMME</t>
  </si>
  <si>
    <t>OK</t>
  </si>
  <si>
    <t>1. Check</t>
  </si>
  <si>
    <t>2. Check</t>
  </si>
  <si>
    <t>Mittelwert:</t>
  </si>
  <si>
    <t>Unified Storage</t>
  </si>
  <si>
    <t>Mittel</t>
  </si>
  <si>
    <t>nie null</t>
  </si>
  <si>
    <t>nie null..</t>
  </si>
  <si>
    <t>Proxmox mit Ceph</t>
  </si>
  <si>
    <t>Szenario:</t>
  </si>
  <si>
    <t>#</t>
  </si>
  <si>
    <t>Hinweis</t>
  </si>
  <si>
    <t>Bei gleichbleibend</t>
  </si>
  <si>
    <t>pve</t>
  </si>
  <si>
    <t>vmw</t>
  </si>
  <si>
    <t>nut</t>
  </si>
  <si>
    <t>vmw/nut</t>
  </si>
  <si>
    <t>Bei Kostn VM&gt;Nut</t>
  </si>
  <si>
    <t>Bei Usabilty abweichung</t>
  </si>
  <si>
    <t>Kosten+Usabilty</t>
  </si>
  <si>
    <t>vm/nut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</si>
</sst>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0" xfId="0" applyFont="1"/>
    <xf numFmtId="0" fontId="0" fillId="0" borderId="2" xfId="0" applyBorder="1"/>
    <xf numFmtId="0" fontId="2" fillId="0" borderId="2" xfId="0" applyFont="1" applyBorder="1"/>
    <xf numFmtId="0" fontId="0" fillId="2" borderId="2" xfId="0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1" fillId="2" borderId="2" xfId="0" applyFon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3" borderId="0" xfId="1"/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</cellXfs>
  <cellStyles count="2"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B1E78-7E51-45EB-932C-19008B2AEAC7}">
  <dimension ref="A1:O8"/>
  <sheetViews>
    <sheetView zoomScale="160" zoomScaleNormal="160" workbookViewId="0">
      <selection activeCell="B2" sqref="B2:K6"/>
    </sheetView>
  </sheetViews>
  <sheetFormatPr baseColWidth="10" defaultRowHeight="15" x14ac:dyDescent="0.25"/>
  <sheetData>
    <row r="1" spans="1:15" ht="60.75" thickBot="1" x14ac:dyDescent="0.3">
      <c r="A1" s="8" t="s">
        <v>0</v>
      </c>
      <c r="B1" s="8" t="s">
        <v>1</v>
      </c>
      <c r="C1" s="8" t="s">
        <v>7</v>
      </c>
      <c r="D1" s="8" t="s">
        <v>8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25</v>
      </c>
      <c r="J1" s="8" t="s">
        <v>12</v>
      </c>
      <c r="K1" s="8" t="s">
        <v>6</v>
      </c>
      <c r="L1" s="5" t="s">
        <v>18</v>
      </c>
      <c r="M1" s="5" t="s">
        <v>26</v>
      </c>
      <c r="N1" s="8" t="s">
        <v>22</v>
      </c>
      <c r="O1" s="8" t="s">
        <v>23</v>
      </c>
    </row>
    <row r="2" spans="1:15" ht="15.75" thickBot="1" x14ac:dyDescent="0.3">
      <c r="A2" s="8">
        <v>1</v>
      </c>
      <c r="B2" s="1">
        <v>20</v>
      </c>
      <c r="C2" s="1">
        <v>10</v>
      </c>
      <c r="D2" s="1">
        <v>5</v>
      </c>
      <c r="E2" s="1">
        <v>15</v>
      </c>
      <c r="F2" s="1">
        <v>15</v>
      </c>
      <c r="G2" s="1">
        <v>5</v>
      </c>
      <c r="H2" s="1">
        <v>5</v>
      </c>
      <c r="I2" s="1">
        <v>5</v>
      </c>
      <c r="J2" s="1">
        <v>15</v>
      </c>
      <c r="K2" s="1">
        <v>5</v>
      </c>
      <c r="L2" s="5">
        <f>SUM(B2:K2)</f>
        <v>100</v>
      </c>
      <c r="M2" s="14">
        <f>AVERAGE(L2:L6)</f>
        <v>100</v>
      </c>
      <c r="N2" s="3" t="s">
        <v>21</v>
      </c>
      <c r="O2" s="3"/>
    </row>
    <row r="3" spans="1:15" ht="15.75" thickBot="1" x14ac:dyDescent="0.3">
      <c r="A3" s="8">
        <v>2</v>
      </c>
      <c r="B3" s="1">
        <v>10</v>
      </c>
      <c r="C3" s="1">
        <v>15</v>
      </c>
      <c r="D3" s="1">
        <v>10</v>
      </c>
      <c r="E3" s="1">
        <v>5</v>
      </c>
      <c r="F3" s="1">
        <v>10</v>
      </c>
      <c r="G3" s="1">
        <v>15</v>
      </c>
      <c r="H3" s="1">
        <v>10</v>
      </c>
      <c r="I3" s="1">
        <v>10</v>
      </c>
      <c r="J3" s="1">
        <v>15</v>
      </c>
      <c r="K3" s="1">
        <v>0</v>
      </c>
      <c r="L3" s="5">
        <f>SUM(B3:K3)</f>
        <v>100</v>
      </c>
      <c r="M3" s="14"/>
      <c r="N3" s="3"/>
      <c r="O3" s="3"/>
    </row>
    <row r="4" spans="1:15" ht="15.75" thickBot="1" x14ac:dyDescent="0.3">
      <c r="A4" s="8">
        <v>3</v>
      </c>
      <c r="B4" s="1">
        <v>15</v>
      </c>
      <c r="C4" s="1">
        <v>10</v>
      </c>
      <c r="D4" s="1">
        <v>15</v>
      </c>
      <c r="E4" s="1">
        <v>5</v>
      </c>
      <c r="F4" s="1">
        <v>5</v>
      </c>
      <c r="G4" s="1">
        <v>0</v>
      </c>
      <c r="H4" s="1">
        <v>10</v>
      </c>
      <c r="I4" s="1">
        <v>20</v>
      </c>
      <c r="J4" s="1">
        <v>15</v>
      </c>
      <c r="K4" s="1">
        <v>5</v>
      </c>
      <c r="L4" s="5">
        <f>SUM(B4:K4)</f>
        <v>100</v>
      </c>
      <c r="M4" s="14"/>
      <c r="N4" s="3"/>
      <c r="O4" s="3"/>
    </row>
    <row r="5" spans="1:15" ht="15.75" thickBot="1" x14ac:dyDescent="0.3">
      <c r="A5" s="8">
        <v>4</v>
      </c>
      <c r="B5" s="1">
        <v>10</v>
      </c>
      <c r="C5" s="1">
        <v>10</v>
      </c>
      <c r="D5" s="1">
        <v>10</v>
      </c>
      <c r="E5" s="1">
        <v>10</v>
      </c>
      <c r="F5" s="1">
        <v>15</v>
      </c>
      <c r="G5" s="1">
        <v>0</v>
      </c>
      <c r="H5" s="1">
        <v>15</v>
      </c>
      <c r="I5" s="1">
        <v>15</v>
      </c>
      <c r="J5" s="1">
        <v>10</v>
      </c>
      <c r="K5" s="1">
        <v>5</v>
      </c>
      <c r="L5" s="5">
        <f>SUM(B5:K5)</f>
        <v>100</v>
      </c>
      <c r="M5" s="14"/>
      <c r="N5" s="3"/>
      <c r="O5" s="3"/>
    </row>
    <row r="6" spans="1:15" ht="15.75" thickBot="1" x14ac:dyDescent="0.3">
      <c r="A6" s="8">
        <v>5</v>
      </c>
      <c r="B6" s="1">
        <v>5</v>
      </c>
      <c r="C6" s="1">
        <v>15</v>
      </c>
      <c r="D6" s="1">
        <v>5</v>
      </c>
      <c r="E6" s="1">
        <v>15</v>
      </c>
      <c r="F6" s="1">
        <v>15</v>
      </c>
      <c r="G6" s="1">
        <v>20</v>
      </c>
      <c r="H6" s="1">
        <v>5</v>
      </c>
      <c r="I6" s="1">
        <v>0</v>
      </c>
      <c r="J6" s="1">
        <v>5</v>
      </c>
      <c r="K6" s="1">
        <v>15</v>
      </c>
      <c r="L6" s="5">
        <f>SUM(B6:K6)</f>
        <v>100</v>
      </c>
      <c r="M6" s="14"/>
      <c r="N6" s="3"/>
      <c r="O6" s="3"/>
    </row>
    <row r="7" spans="1:15" x14ac:dyDescent="0.25">
      <c r="A7" s="5" t="s">
        <v>20</v>
      </c>
      <c r="B7" s="8">
        <f>SUM(B2:B6)</f>
        <v>60</v>
      </c>
      <c r="C7" s="8">
        <f t="shared" ref="C7:K7" si="0">SUM(C2:C6)</f>
        <v>60</v>
      </c>
      <c r="D7" s="8">
        <f t="shared" si="0"/>
        <v>45</v>
      </c>
      <c r="E7" s="8">
        <f t="shared" si="0"/>
        <v>50</v>
      </c>
      <c r="F7" s="8">
        <f t="shared" si="0"/>
        <v>60</v>
      </c>
      <c r="G7" s="8">
        <f t="shared" si="0"/>
        <v>40</v>
      </c>
      <c r="H7" s="8">
        <f>SUM(H2:H6)</f>
        <v>45</v>
      </c>
      <c r="I7" s="8">
        <f>SUM(I2:I6)</f>
        <v>50</v>
      </c>
      <c r="J7" s="8">
        <f t="shared" si="0"/>
        <v>60</v>
      </c>
      <c r="K7" s="8">
        <f t="shared" si="0"/>
        <v>30</v>
      </c>
      <c r="L7" s="5" t="s">
        <v>24</v>
      </c>
      <c r="M7" s="5">
        <f>AVERAGE(B7:K7)</f>
        <v>50</v>
      </c>
      <c r="N7" s="3"/>
      <c r="O7" s="3"/>
    </row>
    <row r="8" spans="1:15" x14ac:dyDescent="0.25">
      <c r="A8" s="3" t="s">
        <v>32</v>
      </c>
      <c r="B8" s="3" t="s">
        <v>27</v>
      </c>
      <c r="C8" s="3" t="s">
        <v>27</v>
      </c>
      <c r="D8" s="3" t="s">
        <v>28</v>
      </c>
      <c r="E8" s="3" t="s">
        <v>27</v>
      </c>
      <c r="F8" s="3" t="s">
        <v>27</v>
      </c>
      <c r="G8" s="3"/>
      <c r="H8" s="3" t="s">
        <v>27</v>
      </c>
      <c r="I8" s="3"/>
      <c r="J8" s="3" t="s">
        <v>27</v>
      </c>
      <c r="K8" s="3"/>
      <c r="L8" s="3"/>
      <c r="M8" s="3"/>
      <c r="N8" s="3"/>
      <c r="O8" s="3"/>
    </row>
  </sheetData>
  <mergeCells count="1">
    <mergeCell ref="M2:M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B5B26-C307-4627-BFB9-E5F80460B961}">
  <dimension ref="A1:O9"/>
  <sheetViews>
    <sheetView topLeftCell="D1" zoomScale="160" zoomScaleNormal="160" workbookViewId="0">
      <selection activeCell="G18" sqref="G18"/>
    </sheetView>
  </sheetViews>
  <sheetFormatPr baseColWidth="10" defaultRowHeight="15" x14ac:dyDescent="0.25"/>
  <sheetData>
    <row r="1" spans="1:15" ht="60.75" thickBot="1" x14ac:dyDescent="0.3">
      <c r="A1" s="8" t="s">
        <v>0</v>
      </c>
      <c r="B1" s="8" t="s">
        <v>1</v>
      </c>
      <c r="C1" s="8" t="s">
        <v>7</v>
      </c>
      <c r="D1" s="8" t="s">
        <v>8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25</v>
      </c>
      <c r="J1" s="8" t="s">
        <v>12</v>
      </c>
      <c r="K1" s="8" t="s">
        <v>6</v>
      </c>
      <c r="L1" s="5" t="s">
        <v>18</v>
      </c>
      <c r="M1" s="5" t="s">
        <v>26</v>
      </c>
      <c r="N1" s="8" t="s">
        <v>22</v>
      </c>
      <c r="O1" s="8" t="s">
        <v>23</v>
      </c>
    </row>
    <row r="2" spans="1:15" ht="15.75" thickBot="1" x14ac:dyDescent="0.3">
      <c r="A2" s="8">
        <v>1</v>
      </c>
      <c r="B2" s="1">
        <v>50</v>
      </c>
      <c r="C2" s="1">
        <v>5</v>
      </c>
      <c r="D2" s="1">
        <v>0</v>
      </c>
      <c r="E2" s="1">
        <v>15</v>
      </c>
      <c r="F2" s="1">
        <v>10</v>
      </c>
      <c r="G2" s="1">
        <v>0</v>
      </c>
      <c r="H2" s="1">
        <v>5</v>
      </c>
      <c r="I2" s="1">
        <v>0</v>
      </c>
      <c r="J2" s="1">
        <v>10</v>
      </c>
      <c r="K2" s="1">
        <v>5</v>
      </c>
      <c r="L2" s="5">
        <f t="shared" ref="L2:L7" si="0">SUM(B2:K2)</f>
        <v>100</v>
      </c>
      <c r="M2" s="14">
        <f>AVERAGE(L2:L6)</f>
        <v>100</v>
      </c>
      <c r="N2" s="3" t="s">
        <v>21</v>
      </c>
      <c r="O2" s="3"/>
    </row>
    <row r="3" spans="1:15" ht="15.75" thickBot="1" x14ac:dyDescent="0.3">
      <c r="A3" s="8">
        <v>2</v>
      </c>
      <c r="B3" s="1">
        <v>15</v>
      </c>
      <c r="C3" s="1">
        <v>10</v>
      </c>
      <c r="D3" s="1">
        <v>15</v>
      </c>
      <c r="E3" s="1">
        <v>5</v>
      </c>
      <c r="F3" s="1">
        <v>15</v>
      </c>
      <c r="G3" s="1">
        <v>15</v>
      </c>
      <c r="H3" s="1">
        <v>5</v>
      </c>
      <c r="I3" s="1">
        <v>0</v>
      </c>
      <c r="J3" s="1">
        <v>15</v>
      </c>
      <c r="K3" s="1">
        <v>5</v>
      </c>
      <c r="L3" s="5">
        <f t="shared" si="0"/>
        <v>100</v>
      </c>
      <c r="M3" s="14"/>
      <c r="N3" s="3" t="s">
        <v>21</v>
      </c>
      <c r="O3" s="3"/>
    </row>
    <row r="4" spans="1:15" ht="15.75" thickBot="1" x14ac:dyDescent="0.3">
      <c r="A4" s="8">
        <v>3</v>
      </c>
      <c r="B4" s="1">
        <v>15</v>
      </c>
      <c r="C4" s="1">
        <v>10</v>
      </c>
      <c r="D4" s="1">
        <v>15</v>
      </c>
      <c r="E4" s="1">
        <v>5</v>
      </c>
      <c r="F4" s="1">
        <v>5</v>
      </c>
      <c r="G4" s="1">
        <v>0</v>
      </c>
      <c r="H4" s="1">
        <v>15</v>
      </c>
      <c r="I4" s="1">
        <v>15</v>
      </c>
      <c r="J4" s="1">
        <v>15</v>
      </c>
      <c r="K4" s="1">
        <v>5</v>
      </c>
      <c r="L4" s="5">
        <f t="shared" si="0"/>
        <v>100</v>
      </c>
      <c r="M4" s="14"/>
      <c r="N4" s="3" t="s">
        <v>21</v>
      </c>
      <c r="O4" s="3"/>
    </row>
    <row r="5" spans="1:15" ht="15.75" thickBot="1" x14ac:dyDescent="0.3">
      <c r="A5" s="8">
        <v>4</v>
      </c>
      <c r="B5" s="1">
        <v>10</v>
      </c>
      <c r="C5" s="1">
        <v>10</v>
      </c>
      <c r="D5" s="1">
        <v>10</v>
      </c>
      <c r="E5" s="1">
        <v>10</v>
      </c>
      <c r="F5" s="1">
        <v>15</v>
      </c>
      <c r="G5" s="1">
        <v>0</v>
      </c>
      <c r="H5" s="1">
        <v>15</v>
      </c>
      <c r="I5" s="1">
        <v>15</v>
      </c>
      <c r="J5" s="1">
        <v>10</v>
      </c>
      <c r="K5" s="1">
        <v>5</v>
      </c>
      <c r="L5" s="5">
        <f t="shared" si="0"/>
        <v>100</v>
      </c>
      <c r="M5" s="14"/>
      <c r="N5" s="3" t="s">
        <v>21</v>
      </c>
      <c r="O5" s="3"/>
    </row>
    <row r="6" spans="1:15" x14ac:dyDescent="0.25">
      <c r="A6" s="10">
        <v>5</v>
      </c>
      <c r="B6" s="11">
        <v>5</v>
      </c>
      <c r="C6" s="11">
        <v>15</v>
      </c>
      <c r="D6" s="11">
        <v>10</v>
      </c>
      <c r="E6" s="11">
        <v>10</v>
      </c>
      <c r="F6" s="11">
        <v>15</v>
      </c>
      <c r="G6" s="11">
        <v>15</v>
      </c>
      <c r="H6" s="11">
        <v>10</v>
      </c>
      <c r="I6" s="11">
        <v>5</v>
      </c>
      <c r="J6" s="11">
        <v>5</v>
      </c>
      <c r="K6" s="11">
        <v>10</v>
      </c>
      <c r="L6" s="5">
        <f t="shared" si="0"/>
        <v>100</v>
      </c>
      <c r="M6" s="14"/>
      <c r="N6" s="3" t="s">
        <v>21</v>
      </c>
      <c r="O6" s="3"/>
    </row>
    <row r="7" spans="1:15" x14ac:dyDescent="0.25">
      <c r="A7" s="8">
        <v>0</v>
      </c>
      <c r="B7" s="12">
        <v>10</v>
      </c>
      <c r="C7" s="12">
        <v>10</v>
      </c>
      <c r="D7" s="12">
        <v>10</v>
      </c>
      <c r="E7" s="12">
        <v>10</v>
      </c>
      <c r="F7" s="12">
        <v>10</v>
      </c>
      <c r="G7" s="12">
        <v>10</v>
      </c>
      <c r="H7" s="12">
        <v>10</v>
      </c>
      <c r="I7" s="12">
        <v>10</v>
      </c>
      <c r="J7" s="12">
        <v>10</v>
      </c>
      <c r="K7" s="12">
        <v>10</v>
      </c>
      <c r="L7" s="5">
        <f t="shared" si="0"/>
        <v>100</v>
      </c>
      <c r="M7" s="9"/>
      <c r="N7" s="3"/>
      <c r="O7" s="3"/>
    </row>
    <row r="8" spans="1:15" x14ac:dyDescent="0.25">
      <c r="A8" s="5" t="s">
        <v>20</v>
      </c>
      <c r="B8" s="8">
        <f t="shared" ref="B8:K8" si="1">SUM(B2:B7)</f>
        <v>105</v>
      </c>
      <c r="C8" s="8">
        <f t="shared" si="1"/>
        <v>60</v>
      </c>
      <c r="D8" s="8">
        <f t="shared" si="1"/>
        <v>60</v>
      </c>
      <c r="E8" s="8">
        <f t="shared" si="1"/>
        <v>55</v>
      </c>
      <c r="F8" s="8">
        <f t="shared" si="1"/>
        <v>70</v>
      </c>
      <c r="G8" s="8">
        <f t="shared" si="1"/>
        <v>40</v>
      </c>
      <c r="H8" s="8">
        <f t="shared" si="1"/>
        <v>60</v>
      </c>
      <c r="I8" s="8">
        <f t="shared" si="1"/>
        <v>45</v>
      </c>
      <c r="J8" s="8">
        <f t="shared" si="1"/>
        <v>65</v>
      </c>
      <c r="K8" s="8">
        <f t="shared" si="1"/>
        <v>40</v>
      </c>
      <c r="L8" s="5" t="s">
        <v>24</v>
      </c>
      <c r="M8" s="5">
        <f>AVERAGE(B8:K8)</f>
        <v>60</v>
      </c>
      <c r="N8" s="3"/>
      <c r="O8" s="3"/>
    </row>
    <row r="9" spans="1:15" x14ac:dyDescent="0.25">
      <c r="A9" s="3" t="s">
        <v>32</v>
      </c>
      <c r="B9" s="3" t="s">
        <v>27</v>
      </c>
      <c r="C9" s="3" t="s">
        <v>27</v>
      </c>
      <c r="D9" s="3"/>
      <c r="E9" s="3" t="s">
        <v>27</v>
      </c>
      <c r="F9" s="3" t="s">
        <v>27</v>
      </c>
      <c r="G9" s="3"/>
      <c r="H9" s="3" t="s">
        <v>27</v>
      </c>
      <c r="I9" s="3"/>
      <c r="J9" s="3" t="s">
        <v>27</v>
      </c>
      <c r="K9" s="3"/>
      <c r="L9" s="3"/>
      <c r="M9" s="3"/>
      <c r="N9" s="3"/>
      <c r="O9" s="3"/>
    </row>
  </sheetData>
  <mergeCells count="1">
    <mergeCell ref="M2:M6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0522C-D307-4272-8586-B326A6E69815}">
  <dimension ref="A1:D13"/>
  <sheetViews>
    <sheetView tabSelected="1" zoomScale="160" zoomScaleNormal="160" workbookViewId="0">
      <selection activeCell="D11" sqref="D11"/>
    </sheetView>
  </sheetViews>
  <sheetFormatPr baseColWidth="10" defaultRowHeight="15" x14ac:dyDescent="0.25"/>
  <cols>
    <col min="1" max="1" width="34.5703125" bestFit="1" customWidth="1"/>
    <col min="2" max="2" width="19.140625" bestFit="1" customWidth="1"/>
    <col min="4" max="4" width="19" bestFit="1" customWidth="1"/>
  </cols>
  <sheetData>
    <row r="1" spans="1:4" x14ac:dyDescent="0.25">
      <c r="A1" s="6" t="s">
        <v>9</v>
      </c>
      <c r="B1" s="6" t="s">
        <v>16</v>
      </c>
      <c r="C1" s="6" t="s">
        <v>17</v>
      </c>
      <c r="D1" s="6" t="s">
        <v>29</v>
      </c>
    </row>
    <row r="2" spans="1:4" x14ac:dyDescent="0.25">
      <c r="A2" s="4" t="s">
        <v>1</v>
      </c>
      <c r="B2" s="4">
        <v>2</v>
      </c>
      <c r="C2" s="4">
        <v>1</v>
      </c>
      <c r="D2" s="4">
        <v>3</v>
      </c>
    </row>
    <row r="3" spans="1:4" x14ac:dyDescent="0.25">
      <c r="A3" s="4" t="s">
        <v>7</v>
      </c>
      <c r="B3" s="4">
        <v>3</v>
      </c>
      <c r="C3" s="4">
        <v>3</v>
      </c>
      <c r="D3" s="4">
        <v>1</v>
      </c>
    </row>
    <row r="4" spans="1:4" x14ac:dyDescent="0.25">
      <c r="A4" s="4" t="s">
        <v>8</v>
      </c>
      <c r="B4" s="4">
        <v>1</v>
      </c>
      <c r="C4" s="4">
        <v>3</v>
      </c>
      <c r="D4" s="4">
        <v>2</v>
      </c>
    </row>
    <row r="5" spans="1:4" x14ac:dyDescent="0.25">
      <c r="A5" s="4" t="s">
        <v>2</v>
      </c>
      <c r="B5" s="4">
        <v>3</v>
      </c>
      <c r="C5" s="4">
        <v>3</v>
      </c>
      <c r="D5" s="4">
        <v>3</v>
      </c>
    </row>
    <row r="6" spans="1:4" x14ac:dyDescent="0.25">
      <c r="A6" s="4" t="s">
        <v>10</v>
      </c>
      <c r="B6" s="4">
        <v>3</v>
      </c>
      <c r="C6" s="4">
        <v>2</v>
      </c>
      <c r="D6" s="4">
        <v>2</v>
      </c>
    </row>
    <row r="7" spans="1:4" x14ac:dyDescent="0.25">
      <c r="A7" s="4" t="s">
        <v>11</v>
      </c>
      <c r="B7" s="4">
        <v>3</v>
      </c>
      <c r="C7" s="4">
        <v>2</v>
      </c>
      <c r="D7" s="4">
        <v>1</v>
      </c>
    </row>
    <row r="8" spans="1:4" x14ac:dyDescent="0.25">
      <c r="A8" s="4" t="s">
        <v>5</v>
      </c>
      <c r="B8" s="4">
        <v>2</v>
      </c>
      <c r="C8" s="4">
        <v>3</v>
      </c>
      <c r="D8" s="4">
        <v>1</v>
      </c>
    </row>
    <row r="9" spans="1:4" x14ac:dyDescent="0.25">
      <c r="A9" s="4" t="s">
        <v>25</v>
      </c>
      <c r="B9" s="4">
        <v>2</v>
      </c>
      <c r="C9" s="4">
        <v>3</v>
      </c>
      <c r="D9" s="4">
        <v>1</v>
      </c>
    </row>
    <row r="10" spans="1:4" x14ac:dyDescent="0.25">
      <c r="A10" s="4" t="s">
        <v>12</v>
      </c>
      <c r="B10" s="4">
        <v>3</v>
      </c>
      <c r="C10" s="4">
        <v>1</v>
      </c>
      <c r="D10" s="4">
        <v>2</v>
      </c>
    </row>
    <row r="11" spans="1:4" x14ac:dyDescent="0.25">
      <c r="A11" s="4" t="s">
        <v>6</v>
      </c>
      <c r="B11" s="4">
        <v>3</v>
      </c>
      <c r="C11" s="4">
        <v>1</v>
      </c>
      <c r="D11" s="4">
        <v>2</v>
      </c>
    </row>
    <row r="12" spans="1:4" x14ac:dyDescent="0.25">
      <c r="A12" s="7" t="s">
        <v>18</v>
      </c>
      <c r="B12" s="7">
        <f>SUM(B2:B11)</f>
        <v>25</v>
      </c>
      <c r="C12" s="7">
        <f t="shared" ref="C12:D12" si="0">SUM(C2:C11)</f>
        <v>22</v>
      </c>
      <c r="D12" s="7">
        <f t="shared" si="0"/>
        <v>18</v>
      </c>
    </row>
    <row r="13" spans="1:4" x14ac:dyDescent="0.25">
      <c r="A13" s="2"/>
      <c r="B13" s="2"/>
      <c r="C13" s="2"/>
      <c r="D13" s="2"/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F278-3573-456D-9F04-D37AF5426834}">
  <dimension ref="A1:H15"/>
  <sheetViews>
    <sheetView zoomScale="160" zoomScaleNormal="160" workbookViewId="0">
      <selection activeCell="E25" sqref="E25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 t="s">
        <v>31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t="e" cm="1">
        <f t="array" ref="B3">INDEX(Szenarien!B:K, $B$1+1, 1)</f>
        <v>#VALUE!</v>
      </c>
      <c r="C3" s="4">
        <f>Lösungen!B2</f>
        <v>2</v>
      </c>
      <c r="D3" s="4" t="e">
        <f>PRODUCT(B3,C3)</f>
        <v>#VALUE!</v>
      </c>
      <c r="E3" s="4">
        <f>Lösungen!C2</f>
        <v>1</v>
      </c>
      <c r="F3" s="4" t="e">
        <f>PRODUCT(B3,E3)</f>
        <v>#VALUE!</v>
      </c>
      <c r="G3" s="4">
        <f>Lösungen!D2</f>
        <v>3</v>
      </c>
      <c r="H3" s="4" t="e">
        <f>PRODUCT(B3,G3)</f>
        <v>#VALUE!</v>
      </c>
    </row>
    <row r="4" spans="1:8" x14ac:dyDescent="0.25">
      <c r="A4" s="4" t="s">
        <v>7</v>
      </c>
      <c r="B4" s="4" t="e" cm="1">
        <f t="array" ref="B4">INDEX(Szenarien!B:K, $B$1+1, 2)</f>
        <v>#VALUE!</v>
      </c>
      <c r="C4" s="4">
        <f>Lösungen!B3</f>
        <v>3</v>
      </c>
      <c r="D4" s="4" t="e">
        <f>PRODUCT(B4,C4)</f>
        <v>#VALUE!</v>
      </c>
      <c r="E4" s="4">
        <f>Lösungen!C3</f>
        <v>3</v>
      </c>
      <c r="F4" s="4" t="e">
        <f>PRODUCT(B4,E4)</f>
        <v>#VALUE!</v>
      </c>
      <c r="G4" s="4">
        <f>Lösungen!D3</f>
        <v>1</v>
      </c>
      <c r="H4" s="4" t="e">
        <f>PRODUCT(B4,G4)</f>
        <v>#VALUE!</v>
      </c>
    </row>
    <row r="5" spans="1:8" x14ac:dyDescent="0.25">
      <c r="A5" s="4" t="s">
        <v>8</v>
      </c>
      <c r="B5" s="4" t="e" cm="1">
        <f t="array" ref="B5">INDEX(Szenarien!B:K, $B$1+1, 3)</f>
        <v>#VALUE!</v>
      </c>
      <c r="C5" s="4">
        <f>Lösungen!B4</f>
        <v>1</v>
      </c>
      <c r="D5" s="4" t="e">
        <f t="shared" ref="D5:D12" si="0">PRODUCT(B5,C5)</f>
        <v>#VALUE!</v>
      </c>
      <c r="E5" s="4">
        <f>Lösungen!C4</f>
        <v>3</v>
      </c>
      <c r="F5" s="4" t="e">
        <f t="shared" ref="F5:F12" si="1">PRODUCT(B5,E5)</f>
        <v>#VALUE!</v>
      </c>
      <c r="G5" s="4">
        <f>Lösungen!D4</f>
        <v>2</v>
      </c>
      <c r="H5" s="4" t="e">
        <f t="shared" ref="H5:H12" si="2">PRODUCT(B5,G5)</f>
        <v>#VALUE!</v>
      </c>
    </row>
    <row r="6" spans="1:8" x14ac:dyDescent="0.25">
      <c r="A6" s="4" t="s">
        <v>2</v>
      </c>
      <c r="B6" s="4" t="e" cm="1">
        <f t="array" ref="B6">INDEX(Szenarien!B:K, $B$1+1, 4)</f>
        <v>#VALUE!</v>
      </c>
      <c r="C6" s="4">
        <f>Lösungen!B5</f>
        <v>3</v>
      </c>
      <c r="D6" s="4" t="e">
        <f t="shared" si="0"/>
        <v>#VALUE!</v>
      </c>
      <c r="E6" s="4">
        <f>Lösungen!C5</f>
        <v>3</v>
      </c>
      <c r="F6" s="4" t="e">
        <f t="shared" si="1"/>
        <v>#VALUE!</v>
      </c>
      <c r="G6" s="4">
        <f>Lösungen!D5</f>
        <v>3</v>
      </c>
      <c r="H6" s="4" t="e">
        <f t="shared" si="2"/>
        <v>#VALUE!</v>
      </c>
    </row>
    <row r="7" spans="1:8" x14ac:dyDescent="0.25">
      <c r="A7" s="4" t="s">
        <v>10</v>
      </c>
      <c r="B7" s="4" t="e" cm="1">
        <f t="array" ref="B7">INDEX(Szenarien!B:K, $B$1+1, 5)</f>
        <v>#VALUE!</v>
      </c>
      <c r="C7" s="4">
        <f>Lösungen!B6</f>
        <v>3</v>
      </c>
      <c r="D7" s="4" t="e">
        <f t="shared" si="0"/>
        <v>#VALUE!</v>
      </c>
      <c r="E7" s="4">
        <f>Lösungen!C6</f>
        <v>2</v>
      </c>
      <c r="F7" s="4" t="e">
        <f t="shared" si="1"/>
        <v>#VALUE!</v>
      </c>
      <c r="G7" s="4">
        <f>Lösungen!D6</f>
        <v>2</v>
      </c>
      <c r="H7" s="4" t="e">
        <f t="shared" si="2"/>
        <v>#VALUE!</v>
      </c>
    </row>
    <row r="8" spans="1:8" x14ac:dyDescent="0.25">
      <c r="A8" s="4" t="s">
        <v>11</v>
      </c>
      <c r="B8" s="4" t="e" cm="1">
        <f t="array" ref="B8">INDEX(Szenarien!B:K, $B$1+1, 6)</f>
        <v>#VALUE!</v>
      </c>
      <c r="C8" s="4">
        <f>Lösungen!B7</f>
        <v>3</v>
      </c>
      <c r="D8" s="4" t="e">
        <f t="shared" si="0"/>
        <v>#VALUE!</v>
      </c>
      <c r="E8" s="4">
        <f>Lösungen!C7</f>
        <v>2</v>
      </c>
      <c r="F8" s="4" t="e">
        <f t="shared" si="1"/>
        <v>#VALUE!</v>
      </c>
      <c r="G8" s="4">
        <f>Lösungen!D7</f>
        <v>1</v>
      </c>
      <c r="H8" s="4" t="e">
        <f t="shared" si="2"/>
        <v>#VALUE!</v>
      </c>
    </row>
    <row r="9" spans="1:8" x14ac:dyDescent="0.25">
      <c r="A9" s="4" t="s">
        <v>5</v>
      </c>
      <c r="B9" s="4" t="e" cm="1">
        <f t="array" ref="B9">INDEX(Szenarien!B:K, $B$1+1, 7)</f>
        <v>#VALUE!</v>
      </c>
      <c r="C9" s="4">
        <f>Lösungen!B8</f>
        <v>2</v>
      </c>
      <c r="D9" s="4" t="e">
        <f t="shared" si="0"/>
        <v>#VALUE!</v>
      </c>
      <c r="E9" s="4">
        <f>Lösungen!C8</f>
        <v>3</v>
      </c>
      <c r="F9" s="4" t="e">
        <f t="shared" si="1"/>
        <v>#VALUE!</v>
      </c>
      <c r="G9" s="4">
        <f>Lösungen!D8</f>
        <v>1</v>
      </c>
      <c r="H9" s="4" t="e">
        <f t="shared" si="2"/>
        <v>#VALUE!</v>
      </c>
    </row>
    <row r="10" spans="1:8" x14ac:dyDescent="0.25">
      <c r="A10" s="4" t="s">
        <v>25</v>
      </c>
      <c r="B10" s="4" t="e" cm="1">
        <f t="array" ref="B10">INDEX(Szenarien!B:K, $B$1+1, 8)</f>
        <v>#VALUE!</v>
      </c>
      <c r="C10" s="4">
        <f>Lösungen!B9</f>
        <v>2</v>
      </c>
      <c r="D10" s="4" t="e">
        <f>PRODUCT(B10,C10)</f>
        <v>#VALUE!</v>
      </c>
      <c r="E10" s="4">
        <f>Lösungen!C9</f>
        <v>3</v>
      </c>
      <c r="F10" s="4" t="e">
        <f>PRODUCT(B10,E10)</f>
        <v>#VALUE!</v>
      </c>
      <c r="G10" s="4">
        <f>Lösungen!D9</f>
        <v>1</v>
      </c>
      <c r="H10" s="4" t="e">
        <f>PRODUCT(B10,G10)</f>
        <v>#VALUE!</v>
      </c>
    </row>
    <row r="11" spans="1:8" x14ac:dyDescent="0.25">
      <c r="A11" s="4" t="s">
        <v>12</v>
      </c>
      <c r="B11" s="4" t="e" cm="1">
        <f t="array" ref="B11">INDEX(Szenarien!B:K, $B$1+1, 9)</f>
        <v>#VALUE!</v>
      </c>
      <c r="C11" s="4">
        <f>Lösungen!B10</f>
        <v>3</v>
      </c>
      <c r="D11" s="4" t="e">
        <f>PRODUCT(B11,C11)</f>
        <v>#VALUE!</v>
      </c>
      <c r="E11" s="4">
        <f>Lösungen!C10</f>
        <v>1</v>
      </c>
      <c r="F11" s="4" t="e">
        <f>PRODUCT(B11,E11)</f>
        <v>#VALUE!</v>
      </c>
      <c r="G11" s="4">
        <f>Lösungen!D10</f>
        <v>2</v>
      </c>
      <c r="H11" s="4" t="e">
        <f>PRODUCT(B11,G11)</f>
        <v>#VALUE!</v>
      </c>
    </row>
    <row r="12" spans="1:8" x14ac:dyDescent="0.25">
      <c r="A12" s="4" t="s">
        <v>6</v>
      </c>
      <c r="B12" s="4" t="e" cm="1">
        <f t="array" ref="B12">INDEX(Szenarien!B:K, $B$1+1, 10)</f>
        <v>#VALUE!</v>
      </c>
      <c r="C12" s="4">
        <f>Lösungen!B11</f>
        <v>3</v>
      </c>
      <c r="D12" s="4" t="e">
        <f t="shared" si="0"/>
        <v>#VALUE!</v>
      </c>
      <c r="E12" s="4">
        <f>Lösungen!C11</f>
        <v>1</v>
      </c>
      <c r="F12" s="4" t="e">
        <f t="shared" si="1"/>
        <v>#VALUE!</v>
      </c>
      <c r="G12" s="4">
        <f>Lösungen!D11</f>
        <v>2</v>
      </c>
      <c r="H12" s="4" t="e">
        <f t="shared" si="2"/>
        <v>#VALUE!</v>
      </c>
    </row>
    <row r="13" spans="1:8" x14ac:dyDescent="0.25">
      <c r="A13" s="7" t="s">
        <v>18</v>
      </c>
      <c r="B13" s="7" t="e">
        <f>SUM(B3:B12)</f>
        <v>#VALUE!</v>
      </c>
      <c r="C13" s="7"/>
      <c r="D13" s="7" t="e">
        <f t="shared" ref="D13:H13" si="3">SUM(D3:D12)</f>
        <v>#VALUE!</v>
      </c>
      <c r="E13" s="7"/>
      <c r="F13" s="7" t="e">
        <f t="shared" si="3"/>
        <v>#VALUE!</v>
      </c>
      <c r="G13" s="7"/>
      <c r="H13" s="7" t="e">
        <f t="shared" si="3"/>
        <v>#VALUE!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A8880-D037-4F7B-AF8F-E0B2DBB4D0DD}">
  <dimension ref="A1:H15"/>
  <sheetViews>
    <sheetView zoomScale="160" zoomScaleNormal="160" workbookViewId="0">
      <selection activeCell="G20" sqref="G20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>
        <v>1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cm="1">
        <f t="array" ref="B3">INDEX(Szenarien!B:K, $B$1+1, 1)</f>
        <v>50</v>
      </c>
      <c r="C3" s="4">
        <f>Lösungen!B2</f>
        <v>2</v>
      </c>
      <c r="D3" s="4">
        <f>PRODUCT(B3,C3)</f>
        <v>100</v>
      </c>
      <c r="E3" s="4">
        <f>Lösungen!C2</f>
        <v>1</v>
      </c>
      <c r="F3" s="4">
        <f>PRODUCT(B3,E3)</f>
        <v>50</v>
      </c>
      <c r="G3" s="4">
        <f>Lösungen!D2</f>
        <v>3</v>
      </c>
      <c r="H3" s="4">
        <f>PRODUCT(B3,G3)</f>
        <v>150</v>
      </c>
    </row>
    <row r="4" spans="1:8" x14ac:dyDescent="0.25">
      <c r="A4" s="4" t="s">
        <v>7</v>
      </c>
      <c r="B4" s="4" cm="1">
        <f t="array" ref="B4">INDEX(Szenarien!B:K, $B$1+1, 2)</f>
        <v>5</v>
      </c>
      <c r="C4" s="4">
        <f>Lösungen!B3</f>
        <v>3</v>
      </c>
      <c r="D4" s="4">
        <f>PRODUCT(B4,C4)</f>
        <v>15</v>
      </c>
      <c r="E4" s="4">
        <f>Lösungen!C3</f>
        <v>3</v>
      </c>
      <c r="F4" s="4">
        <f>PRODUCT(B4,E4)</f>
        <v>15</v>
      </c>
      <c r="G4" s="4">
        <f>Lösungen!D3</f>
        <v>1</v>
      </c>
      <c r="H4" s="4">
        <f>PRODUCT(B4,G4)</f>
        <v>5</v>
      </c>
    </row>
    <row r="5" spans="1:8" x14ac:dyDescent="0.25">
      <c r="A5" s="4" t="s">
        <v>8</v>
      </c>
      <c r="B5" s="4" cm="1">
        <f t="array" ref="B5">INDEX(Szenarien!B:K, $B$1+1, 3)</f>
        <v>0</v>
      </c>
      <c r="C5" s="4">
        <f>Lösungen!B4</f>
        <v>1</v>
      </c>
      <c r="D5" s="4">
        <f t="shared" ref="D5:D9" si="0">PRODUCT(B5,C5)</f>
        <v>0</v>
      </c>
      <c r="E5" s="4">
        <f>Lösungen!C4</f>
        <v>3</v>
      </c>
      <c r="F5" s="4">
        <f t="shared" ref="F5:F9" si="1">PRODUCT(B5,E5)</f>
        <v>0</v>
      </c>
      <c r="G5" s="4">
        <f>Lösungen!D4</f>
        <v>2</v>
      </c>
      <c r="H5" s="4">
        <f t="shared" ref="H5:H9" si="2">PRODUCT(B5,G5)</f>
        <v>0</v>
      </c>
    </row>
    <row r="6" spans="1:8" x14ac:dyDescent="0.25">
      <c r="A6" s="4" t="s">
        <v>2</v>
      </c>
      <c r="B6" s="4" cm="1">
        <f t="array" ref="B6">INDEX(Szenarien!B:K, $B$1+1, 4)</f>
        <v>15</v>
      </c>
      <c r="C6" s="4">
        <f>Lösungen!B5</f>
        <v>3</v>
      </c>
      <c r="D6" s="4">
        <f t="shared" si="0"/>
        <v>45</v>
      </c>
      <c r="E6" s="4">
        <f>Lösungen!C5</f>
        <v>3</v>
      </c>
      <c r="F6" s="4">
        <f t="shared" si="1"/>
        <v>45</v>
      </c>
      <c r="G6" s="4">
        <f>Lösungen!D5</f>
        <v>3</v>
      </c>
      <c r="H6" s="4">
        <f t="shared" si="2"/>
        <v>45</v>
      </c>
    </row>
    <row r="7" spans="1:8" x14ac:dyDescent="0.25">
      <c r="A7" s="4" t="s">
        <v>10</v>
      </c>
      <c r="B7" s="4" cm="1">
        <f t="array" ref="B7">INDEX(Szenarien!B:K, $B$1+1, 5)</f>
        <v>10</v>
      </c>
      <c r="C7" s="4">
        <f>Lösungen!B6</f>
        <v>3</v>
      </c>
      <c r="D7" s="4">
        <f t="shared" si="0"/>
        <v>30</v>
      </c>
      <c r="E7" s="4">
        <f>Lösungen!C6</f>
        <v>2</v>
      </c>
      <c r="F7" s="4">
        <f t="shared" si="1"/>
        <v>20</v>
      </c>
      <c r="G7" s="4">
        <f>Lösungen!D6</f>
        <v>2</v>
      </c>
      <c r="H7" s="4">
        <f t="shared" si="2"/>
        <v>20</v>
      </c>
    </row>
    <row r="8" spans="1:8" x14ac:dyDescent="0.25">
      <c r="A8" s="4" t="s">
        <v>11</v>
      </c>
      <c r="B8" s="4" cm="1">
        <f t="array" ref="B8">INDEX(Szenarien!B:K, $B$1+1, 6)</f>
        <v>0</v>
      </c>
      <c r="C8" s="4">
        <f>Lösungen!B7</f>
        <v>3</v>
      </c>
      <c r="D8" s="4">
        <f t="shared" si="0"/>
        <v>0</v>
      </c>
      <c r="E8" s="4">
        <f>Lösungen!C7</f>
        <v>2</v>
      </c>
      <c r="F8" s="4">
        <f t="shared" si="1"/>
        <v>0</v>
      </c>
      <c r="G8" s="4">
        <f>Lösungen!D7</f>
        <v>1</v>
      </c>
      <c r="H8" s="4">
        <f t="shared" si="2"/>
        <v>0</v>
      </c>
    </row>
    <row r="9" spans="1:8" x14ac:dyDescent="0.25">
      <c r="A9" s="4" t="s">
        <v>5</v>
      </c>
      <c r="B9" s="4" cm="1">
        <f t="array" ref="B9">INDEX(Szenarien!B:K, $B$1+1, 7)</f>
        <v>5</v>
      </c>
      <c r="C9" s="4">
        <f>Lösungen!B8</f>
        <v>2</v>
      </c>
      <c r="D9" s="4">
        <f t="shared" si="0"/>
        <v>10</v>
      </c>
      <c r="E9" s="4">
        <f>Lösungen!C8</f>
        <v>3</v>
      </c>
      <c r="F9" s="4">
        <f t="shared" si="1"/>
        <v>15</v>
      </c>
      <c r="G9" s="4">
        <f>Lösungen!D8</f>
        <v>1</v>
      </c>
      <c r="H9" s="4">
        <f t="shared" si="2"/>
        <v>5</v>
      </c>
    </row>
    <row r="10" spans="1:8" x14ac:dyDescent="0.25">
      <c r="A10" s="4" t="s">
        <v>25</v>
      </c>
      <c r="B10" s="4" cm="1">
        <f t="array" ref="B10">INDEX(Szenarien!B:K, $B$1+1, 8)</f>
        <v>0</v>
      </c>
      <c r="C10" s="4">
        <f>Lösungen!B9</f>
        <v>2</v>
      </c>
      <c r="D10" s="4">
        <f>PRODUCT(B10,C10)</f>
        <v>0</v>
      </c>
      <c r="E10" s="4">
        <f>Lösungen!C9</f>
        <v>3</v>
      </c>
      <c r="F10" s="4">
        <f>PRODUCT(B10,E10)</f>
        <v>0</v>
      </c>
      <c r="G10" s="4">
        <f>Lösungen!D9</f>
        <v>1</v>
      </c>
      <c r="H10" s="4">
        <f>PRODUCT(B10,G10)</f>
        <v>0</v>
      </c>
    </row>
    <row r="11" spans="1:8" x14ac:dyDescent="0.25">
      <c r="A11" s="4" t="s">
        <v>12</v>
      </c>
      <c r="B11" s="4" cm="1">
        <f t="array" ref="B11">INDEX(Szenarien!B:K, $B$1+1, 9)</f>
        <v>10</v>
      </c>
      <c r="C11" s="4">
        <f>Lösungen!B10</f>
        <v>3</v>
      </c>
      <c r="D11" s="4">
        <f>PRODUCT(B11,C11)</f>
        <v>30</v>
      </c>
      <c r="E11" s="4">
        <f>Lösungen!C10</f>
        <v>1</v>
      </c>
      <c r="F11" s="4">
        <f>PRODUCT(B11,E11)</f>
        <v>10</v>
      </c>
      <c r="G11" s="4">
        <f>Lösungen!D10</f>
        <v>2</v>
      </c>
      <c r="H11" s="4">
        <f>PRODUCT(B11,G11)</f>
        <v>20</v>
      </c>
    </row>
    <row r="12" spans="1:8" x14ac:dyDescent="0.25">
      <c r="A12" s="4" t="s">
        <v>6</v>
      </c>
      <c r="B12" s="4" cm="1">
        <f t="array" ref="B12">INDEX(Szenarien!B:K, $B$1+1, 10)</f>
        <v>5</v>
      </c>
      <c r="C12" s="4">
        <f>Lösungen!B11</f>
        <v>3</v>
      </c>
      <c r="D12" s="4">
        <f t="shared" ref="D12" si="3">PRODUCT(B12,C12)</f>
        <v>15</v>
      </c>
      <c r="E12" s="4">
        <f>Lösungen!C11</f>
        <v>1</v>
      </c>
      <c r="F12" s="4">
        <f t="shared" ref="F12" si="4">PRODUCT(B12,E12)</f>
        <v>5</v>
      </c>
      <c r="G12" s="4">
        <f>Lösungen!D11</f>
        <v>2</v>
      </c>
      <c r="H12" s="4">
        <f t="shared" ref="H12" si="5">PRODUCT(B12,G12)</f>
        <v>10</v>
      </c>
    </row>
    <row r="13" spans="1:8" x14ac:dyDescent="0.25">
      <c r="A13" s="7" t="s">
        <v>18</v>
      </c>
      <c r="B13" s="7">
        <f>SUM(B3:B12)</f>
        <v>100</v>
      </c>
      <c r="C13" s="7"/>
      <c r="D13" s="7">
        <f t="shared" ref="D13:H13" si="6">SUM(D3:D12)</f>
        <v>245</v>
      </c>
      <c r="E13" s="7"/>
      <c r="F13" s="7">
        <f t="shared" si="6"/>
        <v>160</v>
      </c>
      <c r="G13" s="7"/>
      <c r="H13" s="7">
        <f t="shared" si="6"/>
        <v>255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1329-4C89-4465-82B7-4B9AB1DB9834}">
  <dimension ref="A1:H15"/>
  <sheetViews>
    <sheetView zoomScale="160" zoomScaleNormal="160" workbookViewId="0">
      <selection activeCell="C21" sqref="C21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>
        <v>2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cm="1">
        <f t="array" ref="B3">INDEX(Szenarien!B:K, $B$1+1, 1)</f>
        <v>15</v>
      </c>
      <c r="C3" s="4">
        <f>Lösungen!B2</f>
        <v>2</v>
      </c>
      <c r="D3" s="4">
        <f>PRODUCT(B3,C3)</f>
        <v>30</v>
      </c>
      <c r="E3" s="4">
        <f>Lösungen!C2</f>
        <v>1</v>
      </c>
      <c r="F3" s="4">
        <f>PRODUCT(B3,E3)</f>
        <v>15</v>
      </c>
      <c r="G3" s="4">
        <f>Lösungen!D2</f>
        <v>3</v>
      </c>
      <c r="H3" s="4">
        <f>PRODUCT(B3,G3)</f>
        <v>45</v>
      </c>
    </row>
    <row r="4" spans="1:8" x14ac:dyDescent="0.25">
      <c r="A4" s="4" t="s">
        <v>7</v>
      </c>
      <c r="B4" s="4" cm="1">
        <f t="array" ref="B4">INDEX(Szenarien!B:K, $B$1+1, 2)</f>
        <v>10</v>
      </c>
      <c r="C4" s="4">
        <f>Lösungen!B3</f>
        <v>3</v>
      </c>
      <c r="D4" s="4">
        <f>PRODUCT(B4,C4)</f>
        <v>30</v>
      </c>
      <c r="E4" s="4">
        <f>Lösungen!C3</f>
        <v>3</v>
      </c>
      <c r="F4" s="4">
        <f>PRODUCT(B4,E4)</f>
        <v>30</v>
      </c>
      <c r="G4" s="4">
        <f>Lösungen!D3</f>
        <v>1</v>
      </c>
      <c r="H4" s="4">
        <f>PRODUCT(B4,G4)</f>
        <v>10</v>
      </c>
    </row>
    <row r="5" spans="1:8" x14ac:dyDescent="0.25">
      <c r="A5" s="4" t="s">
        <v>8</v>
      </c>
      <c r="B5" s="4" cm="1">
        <f t="array" ref="B5">INDEX(Szenarien!B:K, $B$1+1, 3)</f>
        <v>15</v>
      </c>
      <c r="C5" s="4">
        <f>Lösungen!B4</f>
        <v>1</v>
      </c>
      <c r="D5" s="4">
        <f t="shared" ref="D5:D9" si="0">PRODUCT(B5,C5)</f>
        <v>15</v>
      </c>
      <c r="E5" s="4">
        <f>Lösungen!C4</f>
        <v>3</v>
      </c>
      <c r="F5" s="4">
        <f t="shared" ref="F5:F9" si="1">PRODUCT(B5,E5)</f>
        <v>45</v>
      </c>
      <c r="G5" s="4">
        <f>Lösungen!D4</f>
        <v>2</v>
      </c>
      <c r="H5" s="4">
        <f t="shared" ref="H5:H9" si="2">PRODUCT(B5,G5)</f>
        <v>30</v>
      </c>
    </row>
    <row r="6" spans="1:8" x14ac:dyDescent="0.25">
      <c r="A6" s="4" t="s">
        <v>2</v>
      </c>
      <c r="B6" s="4" cm="1">
        <f t="array" ref="B6">INDEX(Szenarien!B:K, $B$1+1, 4)</f>
        <v>5</v>
      </c>
      <c r="C6" s="4">
        <f>Lösungen!B5</f>
        <v>3</v>
      </c>
      <c r="D6" s="4">
        <f t="shared" si="0"/>
        <v>15</v>
      </c>
      <c r="E6" s="4">
        <f>Lösungen!C5</f>
        <v>3</v>
      </c>
      <c r="F6" s="4">
        <f t="shared" si="1"/>
        <v>15</v>
      </c>
      <c r="G6" s="4">
        <f>Lösungen!D5</f>
        <v>3</v>
      </c>
      <c r="H6" s="4">
        <f t="shared" si="2"/>
        <v>15</v>
      </c>
    </row>
    <row r="7" spans="1:8" x14ac:dyDescent="0.25">
      <c r="A7" s="4" t="s">
        <v>10</v>
      </c>
      <c r="B7" s="4" cm="1">
        <f t="array" ref="B7">INDEX(Szenarien!B:K, $B$1+1, 5)</f>
        <v>15</v>
      </c>
      <c r="C7" s="4">
        <f>Lösungen!B6</f>
        <v>3</v>
      </c>
      <c r="D7" s="4">
        <f t="shared" si="0"/>
        <v>45</v>
      </c>
      <c r="E7" s="4">
        <f>Lösungen!C6</f>
        <v>2</v>
      </c>
      <c r="F7" s="4">
        <f t="shared" si="1"/>
        <v>30</v>
      </c>
      <c r="G7" s="4">
        <f>Lösungen!D6</f>
        <v>2</v>
      </c>
      <c r="H7" s="4">
        <f t="shared" si="2"/>
        <v>30</v>
      </c>
    </row>
    <row r="8" spans="1:8" x14ac:dyDescent="0.25">
      <c r="A8" s="4" t="s">
        <v>11</v>
      </c>
      <c r="B8" s="4" cm="1">
        <f t="array" ref="B8">INDEX(Szenarien!B:K, $B$1+1, 6)</f>
        <v>15</v>
      </c>
      <c r="C8" s="4">
        <f>Lösungen!B7</f>
        <v>3</v>
      </c>
      <c r="D8" s="4">
        <f t="shared" si="0"/>
        <v>45</v>
      </c>
      <c r="E8" s="4">
        <f>Lösungen!C7</f>
        <v>2</v>
      </c>
      <c r="F8" s="4">
        <f t="shared" si="1"/>
        <v>30</v>
      </c>
      <c r="G8" s="4">
        <f>Lösungen!D7</f>
        <v>1</v>
      </c>
      <c r="H8" s="4">
        <f t="shared" si="2"/>
        <v>15</v>
      </c>
    </row>
    <row r="9" spans="1:8" x14ac:dyDescent="0.25">
      <c r="A9" s="4" t="s">
        <v>5</v>
      </c>
      <c r="B9" s="4" cm="1">
        <f t="array" ref="B9">INDEX(Szenarien!B:K, $B$1+1, 7)</f>
        <v>5</v>
      </c>
      <c r="C9" s="4">
        <f>Lösungen!B8</f>
        <v>2</v>
      </c>
      <c r="D9" s="4">
        <f t="shared" si="0"/>
        <v>10</v>
      </c>
      <c r="E9" s="4">
        <f>Lösungen!C8</f>
        <v>3</v>
      </c>
      <c r="F9" s="4">
        <f t="shared" si="1"/>
        <v>15</v>
      </c>
      <c r="G9" s="4">
        <f>Lösungen!D8</f>
        <v>1</v>
      </c>
      <c r="H9" s="4">
        <f t="shared" si="2"/>
        <v>5</v>
      </c>
    </row>
    <row r="10" spans="1:8" x14ac:dyDescent="0.25">
      <c r="A10" s="4" t="s">
        <v>25</v>
      </c>
      <c r="B10" s="4" cm="1">
        <f t="array" ref="B10">INDEX(Szenarien!B:K, $B$1+1, 8)</f>
        <v>0</v>
      </c>
      <c r="C10" s="4">
        <f>Lösungen!B9</f>
        <v>2</v>
      </c>
      <c r="D10" s="4">
        <f>PRODUCT(B10,C10)</f>
        <v>0</v>
      </c>
      <c r="E10" s="4">
        <f>Lösungen!C9</f>
        <v>3</v>
      </c>
      <c r="F10" s="4">
        <f>PRODUCT(B10,E10)</f>
        <v>0</v>
      </c>
      <c r="G10" s="4">
        <f>Lösungen!D9</f>
        <v>1</v>
      </c>
      <c r="H10" s="4">
        <f>PRODUCT(B10,G10)</f>
        <v>0</v>
      </c>
    </row>
    <row r="11" spans="1:8" x14ac:dyDescent="0.25">
      <c r="A11" s="4" t="s">
        <v>12</v>
      </c>
      <c r="B11" s="4" cm="1">
        <f t="array" ref="B11">INDEX(Szenarien!B:K, $B$1+1, 9)</f>
        <v>15</v>
      </c>
      <c r="C11" s="4">
        <f>Lösungen!B10</f>
        <v>3</v>
      </c>
      <c r="D11" s="4">
        <f>PRODUCT(B11,C11)</f>
        <v>45</v>
      </c>
      <c r="E11" s="4">
        <f>Lösungen!C10</f>
        <v>1</v>
      </c>
      <c r="F11" s="4">
        <f>PRODUCT(B11,E11)</f>
        <v>15</v>
      </c>
      <c r="G11" s="4">
        <f>Lösungen!D10</f>
        <v>2</v>
      </c>
      <c r="H11" s="4">
        <f>PRODUCT(B11,G11)</f>
        <v>30</v>
      </c>
    </row>
    <row r="12" spans="1:8" x14ac:dyDescent="0.25">
      <c r="A12" s="4" t="s">
        <v>6</v>
      </c>
      <c r="B12" s="4" cm="1">
        <f t="array" ref="B12">INDEX(Szenarien!B:K, $B$1+1, 10)</f>
        <v>5</v>
      </c>
      <c r="C12" s="4">
        <f>Lösungen!B11</f>
        <v>3</v>
      </c>
      <c r="D12" s="4">
        <f t="shared" ref="D12" si="3">PRODUCT(B12,C12)</f>
        <v>15</v>
      </c>
      <c r="E12" s="4">
        <f>Lösungen!C11</f>
        <v>1</v>
      </c>
      <c r="F12" s="4">
        <f t="shared" ref="F12" si="4">PRODUCT(B12,E12)</f>
        <v>5</v>
      </c>
      <c r="G12" s="4">
        <f>Lösungen!D11</f>
        <v>2</v>
      </c>
      <c r="H12" s="4">
        <f t="shared" ref="H12" si="5">PRODUCT(B12,G12)</f>
        <v>10</v>
      </c>
    </row>
    <row r="13" spans="1:8" x14ac:dyDescent="0.25">
      <c r="A13" s="7" t="s">
        <v>18</v>
      </c>
      <c r="B13" s="7">
        <f>SUM(B3:B12)</f>
        <v>100</v>
      </c>
      <c r="C13" s="7"/>
      <c r="D13" s="7">
        <f t="shared" ref="D13:H13" si="6">SUM(D3:D12)</f>
        <v>250</v>
      </c>
      <c r="E13" s="7"/>
      <c r="F13" s="7">
        <f t="shared" si="6"/>
        <v>200</v>
      </c>
      <c r="G13" s="7"/>
      <c r="H13" s="7">
        <f t="shared" si="6"/>
        <v>190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83448-F0BC-46FC-BBB4-E081BD91570E}">
  <dimension ref="A1:H15"/>
  <sheetViews>
    <sheetView zoomScale="160" zoomScaleNormal="160" workbookViewId="0">
      <selection activeCell="D18" sqref="D18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>
        <v>3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cm="1">
        <f t="array" ref="B3">INDEX(Szenarien!B:K, $B$1+1, 1)</f>
        <v>15</v>
      </c>
      <c r="C3" s="4">
        <f>Lösungen!B2</f>
        <v>2</v>
      </c>
      <c r="D3" s="4">
        <f>PRODUCT(B3,C3)</f>
        <v>30</v>
      </c>
      <c r="E3" s="4">
        <f>Lösungen!C2</f>
        <v>1</v>
      </c>
      <c r="F3" s="4">
        <f>PRODUCT(B3,E3)</f>
        <v>15</v>
      </c>
      <c r="G3" s="4">
        <f>Lösungen!D2</f>
        <v>3</v>
      </c>
      <c r="H3" s="4">
        <f>PRODUCT(B3,G3)</f>
        <v>45</v>
      </c>
    </row>
    <row r="4" spans="1:8" x14ac:dyDescent="0.25">
      <c r="A4" s="4" t="s">
        <v>7</v>
      </c>
      <c r="B4" s="4" cm="1">
        <f t="array" ref="B4">INDEX(Szenarien!B:K, $B$1+1, 2)</f>
        <v>10</v>
      </c>
      <c r="C4" s="4">
        <f>Lösungen!B3</f>
        <v>3</v>
      </c>
      <c r="D4" s="4">
        <f>PRODUCT(B4,C4)</f>
        <v>30</v>
      </c>
      <c r="E4" s="4">
        <f>Lösungen!C3</f>
        <v>3</v>
      </c>
      <c r="F4" s="4">
        <f>PRODUCT(B4,E4)</f>
        <v>30</v>
      </c>
      <c r="G4" s="4">
        <f>Lösungen!D3</f>
        <v>1</v>
      </c>
      <c r="H4" s="4">
        <f>PRODUCT(B4,G4)</f>
        <v>10</v>
      </c>
    </row>
    <row r="5" spans="1:8" x14ac:dyDescent="0.25">
      <c r="A5" s="4" t="s">
        <v>8</v>
      </c>
      <c r="B5" s="4" cm="1">
        <f t="array" ref="B5">INDEX(Szenarien!B:K, $B$1+1, 3)</f>
        <v>15</v>
      </c>
      <c r="C5" s="4">
        <f>Lösungen!B4</f>
        <v>1</v>
      </c>
      <c r="D5" s="4">
        <f t="shared" ref="D5:D9" si="0">PRODUCT(B5,C5)</f>
        <v>15</v>
      </c>
      <c r="E5" s="4">
        <f>Lösungen!C4</f>
        <v>3</v>
      </c>
      <c r="F5" s="4">
        <f t="shared" ref="F5:F9" si="1">PRODUCT(B5,E5)</f>
        <v>45</v>
      </c>
      <c r="G5" s="4">
        <f>Lösungen!D4</f>
        <v>2</v>
      </c>
      <c r="H5" s="4">
        <f t="shared" ref="H5:H9" si="2">PRODUCT(B5,G5)</f>
        <v>30</v>
      </c>
    </row>
    <row r="6" spans="1:8" x14ac:dyDescent="0.25">
      <c r="A6" s="4" t="s">
        <v>2</v>
      </c>
      <c r="B6" s="4" cm="1">
        <f t="array" ref="B6">INDEX(Szenarien!B:K, $B$1+1, 4)</f>
        <v>5</v>
      </c>
      <c r="C6" s="4">
        <f>Lösungen!B5</f>
        <v>3</v>
      </c>
      <c r="D6" s="4">
        <f t="shared" si="0"/>
        <v>15</v>
      </c>
      <c r="E6" s="4">
        <f>Lösungen!C5</f>
        <v>3</v>
      </c>
      <c r="F6" s="4">
        <f t="shared" si="1"/>
        <v>15</v>
      </c>
      <c r="G6" s="4">
        <f>Lösungen!D5</f>
        <v>3</v>
      </c>
      <c r="H6" s="4">
        <f t="shared" si="2"/>
        <v>15</v>
      </c>
    </row>
    <row r="7" spans="1:8" x14ac:dyDescent="0.25">
      <c r="A7" s="4" t="s">
        <v>10</v>
      </c>
      <c r="B7" s="4" cm="1">
        <f t="array" ref="B7">INDEX(Szenarien!B:K, $B$1+1, 5)</f>
        <v>5</v>
      </c>
      <c r="C7" s="4">
        <f>Lösungen!B6</f>
        <v>3</v>
      </c>
      <c r="D7" s="4">
        <f t="shared" si="0"/>
        <v>15</v>
      </c>
      <c r="E7" s="4">
        <f>Lösungen!C6</f>
        <v>2</v>
      </c>
      <c r="F7" s="4">
        <f t="shared" si="1"/>
        <v>10</v>
      </c>
      <c r="G7" s="4">
        <f>Lösungen!D6</f>
        <v>2</v>
      </c>
      <c r="H7" s="4">
        <f t="shared" si="2"/>
        <v>10</v>
      </c>
    </row>
    <row r="8" spans="1:8" x14ac:dyDescent="0.25">
      <c r="A8" s="4" t="s">
        <v>11</v>
      </c>
      <c r="B8" s="4" cm="1">
        <f t="array" ref="B8">INDEX(Szenarien!B:K, $B$1+1, 6)</f>
        <v>0</v>
      </c>
      <c r="C8" s="4">
        <f>Lösungen!B7</f>
        <v>3</v>
      </c>
      <c r="D8" s="4">
        <f t="shared" si="0"/>
        <v>0</v>
      </c>
      <c r="E8" s="4">
        <f>Lösungen!C7</f>
        <v>2</v>
      </c>
      <c r="F8" s="4">
        <f t="shared" si="1"/>
        <v>0</v>
      </c>
      <c r="G8" s="4">
        <f>Lösungen!D7</f>
        <v>1</v>
      </c>
      <c r="H8" s="4">
        <f t="shared" si="2"/>
        <v>0</v>
      </c>
    </row>
    <row r="9" spans="1:8" x14ac:dyDescent="0.25">
      <c r="A9" s="4" t="s">
        <v>5</v>
      </c>
      <c r="B9" s="4" cm="1">
        <f t="array" ref="B9">INDEX(Szenarien!B:K, $B$1+1, 7)</f>
        <v>15</v>
      </c>
      <c r="C9" s="4">
        <f>Lösungen!B8</f>
        <v>2</v>
      </c>
      <c r="D9" s="4">
        <f t="shared" si="0"/>
        <v>30</v>
      </c>
      <c r="E9" s="4">
        <f>Lösungen!C8</f>
        <v>3</v>
      </c>
      <c r="F9" s="4">
        <f t="shared" si="1"/>
        <v>45</v>
      </c>
      <c r="G9" s="4">
        <f>Lösungen!D8</f>
        <v>1</v>
      </c>
      <c r="H9" s="4">
        <f t="shared" si="2"/>
        <v>15</v>
      </c>
    </row>
    <row r="10" spans="1:8" x14ac:dyDescent="0.25">
      <c r="A10" s="4" t="s">
        <v>25</v>
      </c>
      <c r="B10" s="4" cm="1">
        <f t="array" ref="B10">INDEX(Szenarien!B:K, $B$1+1, 8)</f>
        <v>15</v>
      </c>
      <c r="C10" s="4">
        <f>Lösungen!B9</f>
        <v>2</v>
      </c>
      <c r="D10" s="4">
        <f>PRODUCT(B10,C10)</f>
        <v>30</v>
      </c>
      <c r="E10" s="4">
        <f>Lösungen!C9</f>
        <v>3</v>
      </c>
      <c r="F10" s="4">
        <f>PRODUCT(B10,E10)</f>
        <v>45</v>
      </c>
      <c r="G10" s="4">
        <f>Lösungen!D9</f>
        <v>1</v>
      </c>
      <c r="H10" s="4">
        <f>PRODUCT(B10,G10)</f>
        <v>15</v>
      </c>
    </row>
    <row r="11" spans="1:8" x14ac:dyDescent="0.25">
      <c r="A11" s="4" t="s">
        <v>12</v>
      </c>
      <c r="B11" s="4" cm="1">
        <f t="array" ref="B11">INDEX(Szenarien!B:K, $B$1+1, 9)</f>
        <v>15</v>
      </c>
      <c r="C11" s="4">
        <f>Lösungen!B10</f>
        <v>3</v>
      </c>
      <c r="D11" s="4">
        <f>PRODUCT(B11,C11)</f>
        <v>45</v>
      </c>
      <c r="E11" s="4">
        <f>Lösungen!C10</f>
        <v>1</v>
      </c>
      <c r="F11" s="4">
        <f>PRODUCT(B11,E11)</f>
        <v>15</v>
      </c>
      <c r="G11" s="4">
        <f>Lösungen!D10</f>
        <v>2</v>
      </c>
      <c r="H11" s="4">
        <f>PRODUCT(B11,G11)</f>
        <v>30</v>
      </c>
    </row>
    <row r="12" spans="1:8" x14ac:dyDescent="0.25">
      <c r="A12" s="4" t="s">
        <v>6</v>
      </c>
      <c r="B12" s="4" cm="1">
        <f t="array" ref="B12">INDEX(Szenarien!B:K, $B$1+1, 10)</f>
        <v>5</v>
      </c>
      <c r="C12" s="4">
        <f>Lösungen!B11</f>
        <v>3</v>
      </c>
      <c r="D12" s="4">
        <f t="shared" ref="D12" si="3">PRODUCT(B12,C12)</f>
        <v>15</v>
      </c>
      <c r="E12" s="4">
        <f>Lösungen!C11</f>
        <v>1</v>
      </c>
      <c r="F12" s="4">
        <f t="shared" ref="F12" si="4">PRODUCT(B12,E12)</f>
        <v>5</v>
      </c>
      <c r="G12" s="4">
        <f>Lösungen!D11</f>
        <v>2</v>
      </c>
      <c r="H12" s="4">
        <f t="shared" ref="H12" si="5">PRODUCT(B12,G12)</f>
        <v>10</v>
      </c>
    </row>
    <row r="13" spans="1:8" x14ac:dyDescent="0.25">
      <c r="A13" s="7" t="s">
        <v>18</v>
      </c>
      <c r="B13" s="7">
        <f>SUM(B3:B12)</f>
        <v>100</v>
      </c>
      <c r="C13" s="7"/>
      <c r="D13" s="7">
        <f t="shared" ref="D13:H13" si="6">SUM(D3:D12)</f>
        <v>225</v>
      </c>
      <c r="E13" s="7"/>
      <c r="F13" s="7">
        <f t="shared" si="6"/>
        <v>225</v>
      </c>
      <c r="G13" s="7"/>
      <c r="H13" s="7">
        <f t="shared" si="6"/>
        <v>180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EB601-A1EC-4140-BB2C-E4DAC592EC40}">
  <dimension ref="A1:H15"/>
  <sheetViews>
    <sheetView zoomScale="160" zoomScaleNormal="160" workbookViewId="0">
      <selection activeCell="B2" sqref="B2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>
        <v>4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cm="1">
        <f t="array" ref="B3">INDEX(Szenarien!B:K, $B$1+1, 1)</f>
        <v>10</v>
      </c>
      <c r="C3" s="4">
        <f>Lösungen!B2</f>
        <v>2</v>
      </c>
      <c r="D3" s="4">
        <f>PRODUCT(B3,C3)</f>
        <v>20</v>
      </c>
      <c r="E3" s="4">
        <f>Lösungen!C2</f>
        <v>1</v>
      </c>
      <c r="F3" s="4">
        <f>PRODUCT(B3,E3)</f>
        <v>10</v>
      </c>
      <c r="G3" s="4">
        <f>Lösungen!D2</f>
        <v>3</v>
      </c>
      <c r="H3" s="4">
        <f>PRODUCT(B3,G3)</f>
        <v>30</v>
      </c>
    </row>
    <row r="4" spans="1:8" x14ac:dyDescent="0.25">
      <c r="A4" s="4" t="s">
        <v>7</v>
      </c>
      <c r="B4" s="4" cm="1">
        <f t="array" ref="B4">INDEX(Szenarien!B:K, $B$1+1, 2)</f>
        <v>10</v>
      </c>
      <c r="C4" s="4">
        <f>Lösungen!B3</f>
        <v>3</v>
      </c>
      <c r="D4" s="4">
        <f>PRODUCT(B4,C4)</f>
        <v>30</v>
      </c>
      <c r="E4" s="4">
        <f>Lösungen!C3</f>
        <v>3</v>
      </c>
      <c r="F4" s="4">
        <f>PRODUCT(B4,E4)</f>
        <v>30</v>
      </c>
      <c r="G4" s="4">
        <f>Lösungen!D3</f>
        <v>1</v>
      </c>
      <c r="H4" s="4">
        <f>PRODUCT(B4,G4)</f>
        <v>10</v>
      </c>
    </row>
    <row r="5" spans="1:8" x14ac:dyDescent="0.25">
      <c r="A5" s="4" t="s">
        <v>8</v>
      </c>
      <c r="B5" s="4" cm="1">
        <f t="array" ref="B5">INDEX(Szenarien!B:K, $B$1+1, 3)</f>
        <v>10</v>
      </c>
      <c r="C5" s="4">
        <f>Lösungen!B4</f>
        <v>1</v>
      </c>
      <c r="D5" s="4">
        <f t="shared" ref="D5:D9" si="0">PRODUCT(B5,C5)</f>
        <v>10</v>
      </c>
      <c r="E5" s="4">
        <f>Lösungen!C4</f>
        <v>3</v>
      </c>
      <c r="F5" s="4">
        <f t="shared" ref="F5:F9" si="1">PRODUCT(B5,E5)</f>
        <v>30</v>
      </c>
      <c r="G5" s="4">
        <f>Lösungen!D4</f>
        <v>2</v>
      </c>
      <c r="H5" s="4">
        <f t="shared" ref="H5:H9" si="2">PRODUCT(B5,G5)</f>
        <v>20</v>
      </c>
    </row>
    <row r="6" spans="1:8" x14ac:dyDescent="0.25">
      <c r="A6" s="4" t="s">
        <v>2</v>
      </c>
      <c r="B6" s="4" cm="1">
        <f t="array" ref="B6">INDEX(Szenarien!B:K, $B$1+1, 4)</f>
        <v>10</v>
      </c>
      <c r="C6" s="4">
        <f>Lösungen!B5</f>
        <v>3</v>
      </c>
      <c r="D6" s="4">
        <f t="shared" si="0"/>
        <v>30</v>
      </c>
      <c r="E6" s="4">
        <f>Lösungen!C5</f>
        <v>3</v>
      </c>
      <c r="F6" s="4">
        <f t="shared" si="1"/>
        <v>30</v>
      </c>
      <c r="G6" s="4">
        <f>Lösungen!D5</f>
        <v>3</v>
      </c>
      <c r="H6" s="4">
        <f t="shared" si="2"/>
        <v>30</v>
      </c>
    </row>
    <row r="7" spans="1:8" x14ac:dyDescent="0.25">
      <c r="A7" s="4" t="s">
        <v>10</v>
      </c>
      <c r="B7" s="4" cm="1">
        <f t="array" ref="B7">INDEX(Szenarien!B:K, $B$1+1, 5)</f>
        <v>15</v>
      </c>
      <c r="C7" s="4">
        <f>Lösungen!B6</f>
        <v>3</v>
      </c>
      <c r="D7" s="4">
        <f t="shared" si="0"/>
        <v>45</v>
      </c>
      <c r="E7" s="4">
        <f>Lösungen!C6</f>
        <v>2</v>
      </c>
      <c r="F7" s="4">
        <f t="shared" si="1"/>
        <v>30</v>
      </c>
      <c r="G7" s="4">
        <f>Lösungen!D6</f>
        <v>2</v>
      </c>
      <c r="H7" s="4">
        <f t="shared" si="2"/>
        <v>30</v>
      </c>
    </row>
    <row r="8" spans="1:8" x14ac:dyDescent="0.25">
      <c r="A8" s="4" t="s">
        <v>11</v>
      </c>
      <c r="B8" s="4" cm="1">
        <f t="array" ref="B8">INDEX(Szenarien!B:K, $B$1+1, 6)</f>
        <v>0</v>
      </c>
      <c r="C8" s="4">
        <f>Lösungen!B7</f>
        <v>3</v>
      </c>
      <c r="D8" s="4">
        <f t="shared" si="0"/>
        <v>0</v>
      </c>
      <c r="E8" s="4">
        <f>Lösungen!C7</f>
        <v>2</v>
      </c>
      <c r="F8" s="4">
        <f t="shared" si="1"/>
        <v>0</v>
      </c>
      <c r="G8" s="4">
        <f>Lösungen!D7</f>
        <v>1</v>
      </c>
      <c r="H8" s="4">
        <f t="shared" si="2"/>
        <v>0</v>
      </c>
    </row>
    <row r="9" spans="1:8" x14ac:dyDescent="0.25">
      <c r="A9" s="4" t="s">
        <v>5</v>
      </c>
      <c r="B9" s="4" cm="1">
        <f t="array" ref="B9">INDEX(Szenarien!B:K, $B$1+1, 7)</f>
        <v>15</v>
      </c>
      <c r="C9" s="4">
        <f>Lösungen!B8</f>
        <v>2</v>
      </c>
      <c r="D9" s="4">
        <f t="shared" si="0"/>
        <v>30</v>
      </c>
      <c r="E9" s="4">
        <f>Lösungen!C8</f>
        <v>3</v>
      </c>
      <c r="F9" s="4">
        <f t="shared" si="1"/>
        <v>45</v>
      </c>
      <c r="G9" s="4">
        <f>Lösungen!D8</f>
        <v>1</v>
      </c>
      <c r="H9" s="4">
        <f t="shared" si="2"/>
        <v>15</v>
      </c>
    </row>
    <row r="10" spans="1:8" x14ac:dyDescent="0.25">
      <c r="A10" s="4" t="s">
        <v>25</v>
      </c>
      <c r="B10" s="4" cm="1">
        <f t="array" ref="B10">INDEX(Szenarien!B:K, $B$1+1, 8)</f>
        <v>15</v>
      </c>
      <c r="C10" s="4">
        <f>Lösungen!B9</f>
        <v>2</v>
      </c>
      <c r="D10" s="4">
        <f>PRODUCT(B10,C10)</f>
        <v>30</v>
      </c>
      <c r="E10" s="4">
        <f>Lösungen!C9</f>
        <v>3</v>
      </c>
      <c r="F10" s="4">
        <f>PRODUCT(B10,E10)</f>
        <v>45</v>
      </c>
      <c r="G10" s="4">
        <f>Lösungen!D9</f>
        <v>1</v>
      </c>
      <c r="H10" s="4">
        <f>PRODUCT(B10,G10)</f>
        <v>15</v>
      </c>
    </row>
    <row r="11" spans="1:8" x14ac:dyDescent="0.25">
      <c r="A11" s="4" t="s">
        <v>12</v>
      </c>
      <c r="B11" s="4" cm="1">
        <f t="array" ref="B11">INDEX(Szenarien!B:K, $B$1+1, 9)</f>
        <v>10</v>
      </c>
      <c r="C11" s="4">
        <f>Lösungen!B10</f>
        <v>3</v>
      </c>
      <c r="D11" s="4">
        <f>PRODUCT(B11,C11)</f>
        <v>30</v>
      </c>
      <c r="E11" s="4">
        <f>Lösungen!C10</f>
        <v>1</v>
      </c>
      <c r="F11" s="4">
        <f>PRODUCT(B11,E11)</f>
        <v>10</v>
      </c>
      <c r="G11" s="4">
        <f>Lösungen!D10</f>
        <v>2</v>
      </c>
      <c r="H11" s="4">
        <f>PRODUCT(B11,G11)</f>
        <v>20</v>
      </c>
    </row>
    <row r="12" spans="1:8" x14ac:dyDescent="0.25">
      <c r="A12" s="4" t="s">
        <v>6</v>
      </c>
      <c r="B12" s="4" cm="1">
        <f t="array" ref="B12">INDEX(Szenarien!B:K, $B$1+1, 10)</f>
        <v>5</v>
      </c>
      <c r="C12" s="4">
        <f>Lösungen!B11</f>
        <v>3</v>
      </c>
      <c r="D12" s="4">
        <f t="shared" ref="D12" si="3">PRODUCT(B12,C12)</f>
        <v>15</v>
      </c>
      <c r="E12" s="4">
        <f>Lösungen!C11</f>
        <v>1</v>
      </c>
      <c r="F12" s="4">
        <f t="shared" ref="F12" si="4">PRODUCT(B12,E12)</f>
        <v>5</v>
      </c>
      <c r="G12" s="4">
        <f>Lösungen!D11</f>
        <v>2</v>
      </c>
      <c r="H12" s="4">
        <f t="shared" ref="H12" si="5">PRODUCT(B12,G12)</f>
        <v>10</v>
      </c>
    </row>
    <row r="13" spans="1:8" x14ac:dyDescent="0.25">
      <c r="A13" s="7" t="s">
        <v>18</v>
      </c>
      <c r="B13" s="7">
        <f>SUM(B3:B12)</f>
        <v>100</v>
      </c>
      <c r="C13" s="7"/>
      <c r="D13" s="7">
        <f t="shared" ref="D13:H13" si="6">SUM(D3:D12)</f>
        <v>240</v>
      </c>
      <c r="E13" s="7"/>
      <c r="F13" s="7">
        <f t="shared" si="6"/>
        <v>235</v>
      </c>
      <c r="G13" s="7"/>
      <c r="H13" s="7">
        <f t="shared" si="6"/>
        <v>180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3F71C-DFA9-4483-8482-DC0F39D93A94}">
  <dimension ref="A1:H15"/>
  <sheetViews>
    <sheetView zoomScale="160" zoomScaleNormal="160" workbookViewId="0">
      <selection activeCell="D20" sqref="D20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>
        <v>5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cm="1">
        <f t="array" ref="B3">INDEX(Szenarien!B:K, $B$1+1, 1)</f>
        <v>5</v>
      </c>
      <c r="C3" s="4">
        <f>Lösungen!B2</f>
        <v>2</v>
      </c>
      <c r="D3" s="4">
        <f>PRODUCT(B3,C3)</f>
        <v>10</v>
      </c>
      <c r="E3" s="4">
        <f>Lösungen!C2</f>
        <v>1</v>
      </c>
      <c r="F3" s="4">
        <f>PRODUCT(B3,E3)</f>
        <v>5</v>
      </c>
      <c r="G3" s="4">
        <f>Lösungen!D2</f>
        <v>3</v>
      </c>
      <c r="H3" s="4">
        <f>PRODUCT(B3,G3)</f>
        <v>15</v>
      </c>
    </row>
    <row r="4" spans="1:8" x14ac:dyDescent="0.25">
      <c r="A4" s="4" t="s">
        <v>7</v>
      </c>
      <c r="B4" s="4" cm="1">
        <f t="array" ref="B4">INDEX(Szenarien!B:K, $B$1+1, 2)</f>
        <v>15</v>
      </c>
      <c r="C4" s="4">
        <f>Lösungen!B3</f>
        <v>3</v>
      </c>
      <c r="D4" s="4">
        <f>PRODUCT(B4,C4)</f>
        <v>45</v>
      </c>
      <c r="E4" s="4">
        <f>Lösungen!C3</f>
        <v>3</v>
      </c>
      <c r="F4" s="4">
        <f>PRODUCT(B4,E4)</f>
        <v>45</v>
      </c>
      <c r="G4" s="4">
        <f>Lösungen!D3</f>
        <v>1</v>
      </c>
      <c r="H4" s="4">
        <f>PRODUCT(B4,G4)</f>
        <v>15</v>
      </c>
    </row>
    <row r="5" spans="1:8" x14ac:dyDescent="0.25">
      <c r="A5" s="4" t="s">
        <v>8</v>
      </c>
      <c r="B5" s="4" cm="1">
        <f t="array" ref="B5">INDEX(Szenarien!B:K, $B$1+1, 3)</f>
        <v>10</v>
      </c>
      <c r="C5" s="4">
        <f>Lösungen!B4</f>
        <v>1</v>
      </c>
      <c r="D5" s="4">
        <f t="shared" ref="D5:D9" si="0">PRODUCT(B5,C5)</f>
        <v>10</v>
      </c>
      <c r="E5" s="4">
        <f>Lösungen!C4</f>
        <v>3</v>
      </c>
      <c r="F5" s="4">
        <f t="shared" ref="F5:F9" si="1">PRODUCT(B5,E5)</f>
        <v>30</v>
      </c>
      <c r="G5" s="4">
        <f>Lösungen!D4</f>
        <v>2</v>
      </c>
      <c r="H5" s="4">
        <f t="shared" ref="H5:H9" si="2">PRODUCT(B5,G5)</f>
        <v>20</v>
      </c>
    </row>
    <row r="6" spans="1:8" x14ac:dyDescent="0.25">
      <c r="A6" s="4" t="s">
        <v>2</v>
      </c>
      <c r="B6" s="4" cm="1">
        <f t="array" ref="B6">INDEX(Szenarien!B:K, $B$1+1, 4)</f>
        <v>10</v>
      </c>
      <c r="C6" s="4">
        <f>Lösungen!B5</f>
        <v>3</v>
      </c>
      <c r="D6" s="4">
        <f t="shared" si="0"/>
        <v>30</v>
      </c>
      <c r="E6" s="4">
        <f>Lösungen!C5</f>
        <v>3</v>
      </c>
      <c r="F6" s="4">
        <f t="shared" si="1"/>
        <v>30</v>
      </c>
      <c r="G6" s="4">
        <f>Lösungen!D5</f>
        <v>3</v>
      </c>
      <c r="H6" s="4">
        <f t="shared" si="2"/>
        <v>30</v>
      </c>
    </row>
    <row r="7" spans="1:8" x14ac:dyDescent="0.25">
      <c r="A7" s="4" t="s">
        <v>10</v>
      </c>
      <c r="B7" s="4" cm="1">
        <f t="array" ref="B7">INDEX(Szenarien!B:K, $B$1+1, 5)</f>
        <v>15</v>
      </c>
      <c r="C7" s="4">
        <f>Lösungen!B6</f>
        <v>3</v>
      </c>
      <c r="D7" s="4">
        <f t="shared" si="0"/>
        <v>45</v>
      </c>
      <c r="E7" s="4">
        <f>Lösungen!C6</f>
        <v>2</v>
      </c>
      <c r="F7" s="4">
        <f t="shared" si="1"/>
        <v>30</v>
      </c>
      <c r="G7" s="4">
        <f>Lösungen!D6</f>
        <v>2</v>
      </c>
      <c r="H7" s="4">
        <f t="shared" si="2"/>
        <v>30</v>
      </c>
    </row>
    <row r="8" spans="1:8" x14ac:dyDescent="0.25">
      <c r="A8" s="4" t="s">
        <v>11</v>
      </c>
      <c r="B8" s="4" cm="1">
        <f t="array" ref="B8">INDEX(Szenarien!B:K, $B$1+1, 6)</f>
        <v>15</v>
      </c>
      <c r="C8" s="4">
        <f>Lösungen!B7</f>
        <v>3</v>
      </c>
      <c r="D8" s="4">
        <f t="shared" si="0"/>
        <v>45</v>
      </c>
      <c r="E8" s="4">
        <f>Lösungen!C7</f>
        <v>2</v>
      </c>
      <c r="F8" s="4">
        <f t="shared" si="1"/>
        <v>30</v>
      </c>
      <c r="G8" s="4">
        <f>Lösungen!D7</f>
        <v>1</v>
      </c>
      <c r="H8" s="4">
        <f t="shared" si="2"/>
        <v>15</v>
      </c>
    </row>
    <row r="9" spans="1:8" x14ac:dyDescent="0.25">
      <c r="A9" s="4" t="s">
        <v>5</v>
      </c>
      <c r="B9" s="4" cm="1">
        <f t="array" ref="B9">INDEX(Szenarien!B:K, $B$1+1, 7)</f>
        <v>10</v>
      </c>
      <c r="C9" s="4">
        <f>Lösungen!B8</f>
        <v>2</v>
      </c>
      <c r="D9" s="4">
        <f t="shared" si="0"/>
        <v>20</v>
      </c>
      <c r="E9" s="4">
        <f>Lösungen!C8</f>
        <v>3</v>
      </c>
      <c r="F9" s="4">
        <f t="shared" si="1"/>
        <v>30</v>
      </c>
      <c r="G9" s="4">
        <f>Lösungen!D8</f>
        <v>1</v>
      </c>
      <c r="H9" s="4">
        <f t="shared" si="2"/>
        <v>10</v>
      </c>
    </row>
    <row r="10" spans="1:8" x14ac:dyDescent="0.25">
      <c r="A10" s="4" t="s">
        <v>25</v>
      </c>
      <c r="B10" s="4" cm="1">
        <f t="array" ref="B10">INDEX(Szenarien!B:K, $B$1+1, 8)</f>
        <v>5</v>
      </c>
      <c r="C10" s="4">
        <f>Lösungen!B9</f>
        <v>2</v>
      </c>
      <c r="D10" s="4">
        <f>PRODUCT(B10,C10)</f>
        <v>10</v>
      </c>
      <c r="E10" s="4">
        <f>Lösungen!C9</f>
        <v>3</v>
      </c>
      <c r="F10" s="4">
        <f>PRODUCT(B10,E10)</f>
        <v>15</v>
      </c>
      <c r="G10" s="4">
        <f>Lösungen!D9</f>
        <v>1</v>
      </c>
      <c r="H10" s="4">
        <f>PRODUCT(B10,G10)</f>
        <v>5</v>
      </c>
    </row>
    <row r="11" spans="1:8" x14ac:dyDescent="0.25">
      <c r="A11" s="4" t="s">
        <v>12</v>
      </c>
      <c r="B11" s="4" cm="1">
        <f t="array" ref="B11">INDEX(Szenarien!B:K, $B$1+1, 9)</f>
        <v>5</v>
      </c>
      <c r="C11" s="4">
        <f>Lösungen!B10</f>
        <v>3</v>
      </c>
      <c r="D11" s="4">
        <f>PRODUCT(B11,C11)</f>
        <v>15</v>
      </c>
      <c r="E11" s="4">
        <f>Lösungen!C10</f>
        <v>1</v>
      </c>
      <c r="F11" s="4">
        <f>PRODUCT(B11,E11)</f>
        <v>5</v>
      </c>
      <c r="G11" s="4">
        <f>Lösungen!D10</f>
        <v>2</v>
      </c>
      <c r="H11" s="4">
        <f>PRODUCT(B11,G11)</f>
        <v>10</v>
      </c>
    </row>
    <row r="12" spans="1:8" x14ac:dyDescent="0.25">
      <c r="A12" s="4" t="s">
        <v>6</v>
      </c>
      <c r="B12" s="4" cm="1">
        <f t="array" ref="B12">INDEX(Szenarien!B:K, $B$1+1, 10)</f>
        <v>10</v>
      </c>
      <c r="C12" s="4">
        <f>Lösungen!B11</f>
        <v>3</v>
      </c>
      <c r="D12" s="4">
        <f t="shared" ref="D12" si="3">PRODUCT(B12,C12)</f>
        <v>30</v>
      </c>
      <c r="E12" s="4">
        <f>Lösungen!C11</f>
        <v>1</v>
      </c>
      <c r="F12" s="4">
        <f t="shared" ref="F12" si="4">PRODUCT(B12,E12)</f>
        <v>10</v>
      </c>
      <c r="G12" s="4">
        <f>Lösungen!D11</f>
        <v>2</v>
      </c>
      <c r="H12" s="4">
        <f t="shared" ref="H12" si="5">PRODUCT(B12,G12)</f>
        <v>20</v>
      </c>
    </row>
    <row r="13" spans="1:8" x14ac:dyDescent="0.25">
      <c r="A13" s="7" t="s">
        <v>18</v>
      </c>
      <c r="B13" s="7">
        <f>SUM(B3:B12)</f>
        <v>100</v>
      </c>
      <c r="C13" s="7"/>
      <c r="D13" s="7">
        <f t="shared" ref="D13:H13" si="6">SUM(D3:D12)</f>
        <v>260</v>
      </c>
      <c r="E13" s="7"/>
      <c r="F13" s="7">
        <f t="shared" si="6"/>
        <v>230</v>
      </c>
      <c r="G13" s="7"/>
      <c r="H13" s="7">
        <f t="shared" si="6"/>
        <v>170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8FD4-0E48-4BC3-A71A-44B08418BCE9}">
  <dimension ref="A1:H15"/>
  <sheetViews>
    <sheetView zoomScale="160" zoomScaleNormal="160" workbookViewId="0">
      <selection activeCell="G16" sqref="G16"/>
    </sheetView>
  </sheetViews>
  <sheetFormatPr baseColWidth="10" defaultRowHeight="15" x14ac:dyDescent="0.25"/>
  <cols>
    <col min="1" max="1" width="34.5703125" bestFit="1" customWidth="1"/>
    <col min="2" max="2" width="11.28515625" bestFit="1" customWidth="1"/>
    <col min="4" max="4" width="15.42578125" bestFit="1" customWidth="1"/>
    <col min="6" max="6" width="15.42578125" bestFit="1" customWidth="1"/>
    <col min="8" max="8" width="15.42578125" bestFit="1" customWidth="1"/>
  </cols>
  <sheetData>
    <row r="1" spans="1:8" x14ac:dyDescent="0.25">
      <c r="A1" s="6" t="s">
        <v>30</v>
      </c>
      <c r="B1" s="6">
        <v>6</v>
      </c>
      <c r="C1" s="15" t="s">
        <v>16</v>
      </c>
      <c r="D1" s="15"/>
      <c r="E1" s="15" t="s">
        <v>17</v>
      </c>
      <c r="F1" s="15"/>
      <c r="G1" s="15" t="s">
        <v>29</v>
      </c>
      <c r="H1" s="15"/>
    </row>
    <row r="2" spans="1:8" x14ac:dyDescent="0.25">
      <c r="A2" s="6" t="s">
        <v>9</v>
      </c>
      <c r="B2" s="6" t="s">
        <v>13</v>
      </c>
      <c r="C2" s="6" t="s">
        <v>14</v>
      </c>
      <c r="D2" s="6" t="s">
        <v>15</v>
      </c>
      <c r="E2" s="6" t="s">
        <v>14</v>
      </c>
      <c r="F2" s="6" t="s">
        <v>15</v>
      </c>
      <c r="G2" s="6" t="s">
        <v>14</v>
      </c>
      <c r="H2" s="6" t="s">
        <v>15</v>
      </c>
    </row>
    <row r="3" spans="1:8" x14ac:dyDescent="0.25">
      <c r="A3" s="4" t="s">
        <v>1</v>
      </c>
      <c r="B3" s="4" cm="1">
        <f t="array" ref="B3">INDEX(Szenarien!B:K, $B$1+1, 1)</f>
        <v>10</v>
      </c>
      <c r="C3" s="4">
        <f>Lösungen!B2</f>
        <v>2</v>
      </c>
      <c r="D3" s="4">
        <f>PRODUCT(B3,C3)</f>
        <v>20</v>
      </c>
      <c r="E3" s="4">
        <f>Lösungen!C2</f>
        <v>1</v>
      </c>
      <c r="F3" s="4">
        <f>PRODUCT(B3,E3)</f>
        <v>10</v>
      </c>
      <c r="G3" s="4">
        <f>Lösungen!D2</f>
        <v>3</v>
      </c>
      <c r="H3" s="4">
        <f>PRODUCT(B3,G3)</f>
        <v>30</v>
      </c>
    </row>
    <row r="4" spans="1:8" x14ac:dyDescent="0.25">
      <c r="A4" s="4" t="s">
        <v>7</v>
      </c>
      <c r="B4" s="4" cm="1">
        <f t="array" ref="B4">INDEX(Szenarien!B:K, $B$1+1, 2)</f>
        <v>10</v>
      </c>
      <c r="C4" s="4">
        <f>Lösungen!B3</f>
        <v>3</v>
      </c>
      <c r="D4" s="4">
        <f>PRODUCT(B4,C4)</f>
        <v>30</v>
      </c>
      <c r="E4" s="4">
        <f>Lösungen!C3</f>
        <v>3</v>
      </c>
      <c r="F4" s="4">
        <f>PRODUCT(B4,E4)</f>
        <v>30</v>
      </c>
      <c r="G4" s="4">
        <f>Lösungen!D3</f>
        <v>1</v>
      </c>
      <c r="H4" s="4">
        <f>PRODUCT(B4,G4)</f>
        <v>10</v>
      </c>
    </row>
    <row r="5" spans="1:8" x14ac:dyDescent="0.25">
      <c r="A5" s="4" t="s">
        <v>8</v>
      </c>
      <c r="B5" s="4" cm="1">
        <f t="array" ref="B5">INDEX(Szenarien!B:K, $B$1+1, 3)</f>
        <v>10</v>
      </c>
      <c r="C5" s="4">
        <f>Lösungen!B4</f>
        <v>1</v>
      </c>
      <c r="D5" s="4">
        <f t="shared" ref="D5:D9" si="0">PRODUCT(B5,C5)</f>
        <v>10</v>
      </c>
      <c r="E5" s="4">
        <f>Lösungen!C4</f>
        <v>3</v>
      </c>
      <c r="F5" s="4">
        <f t="shared" ref="F5:F9" si="1">PRODUCT(B5,E5)</f>
        <v>30</v>
      </c>
      <c r="G5" s="4">
        <f>Lösungen!D4</f>
        <v>2</v>
      </c>
      <c r="H5" s="4">
        <f t="shared" ref="H5:H9" si="2">PRODUCT(B5,G5)</f>
        <v>20</v>
      </c>
    </row>
    <row r="6" spans="1:8" x14ac:dyDescent="0.25">
      <c r="A6" s="4" t="s">
        <v>2</v>
      </c>
      <c r="B6" s="4" cm="1">
        <f t="array" ref="B6">INDEX(Szenarien!B:K, $B$1+1, 4)</f>
        <v>10</v>
      </c>
      <c r="C6" s="4">
        <f>Lösungen!B5</f>
        <v>3</v>
      </c>
      <c r="D6" s="4">
        <f t="shared" si="0"/>
        <v>30</v>
      </c>
      <c r="E6" s="4">
        <f>Lösungen!C5</f>
        <v>3</v>
      </c>
      <c r="F6" s="4">
        <f t="shared" si="1"/>
        <v>30</v>
      </c>
      <c r="G6" s="4">
        <f>Lösungen!D5</f>
        <v>3</v>
      </c>
      <c r="H6" s="4">
        <f t="shared" si="2"/>
        <v>30</v>
      </c>
    </row>
    <row r="7" spans="1:8" x14ac:dyDescent="0.25">
      <c r="A7" s="4" t="s">
        <v>10</v>
      </c>
      <c r="B7" s="4" cm="1">
        <f t="array" ref="B7">INDEX(Szenarien!B:K, $B$1+1, 5)</f>
        <v>10</v>
      </c>
      <c r="C7" s="4">
        <f>Lösungen!B6</f>
        <v>3</v>
      </c>
      <c r="D7" s="4">
        <f t="shared" si="0"/>
        <v>30</v>
      </c>
      <c r="E7" s="4">
        <f>Lösungen!C6</f>
        <v>2</v>
      </c>
      <c r="F7" s="4">
        <f t="shared" si="1"/>
        <v>20</v>
      </c>
      <c r="G7" s="4">
        <f>Lösungen!D6</f>
        <v>2</v>
      </c>
      <c r="H7" s="4">
        <f t="shared" si="2"/>
        <v>20</v>
      </c>
    </row>
    <row r="8" spans="1:8" x14ac:dyDescent="0.25">
      <c r="A8" s="4" t="s">
        <v>11</v>
      </c>
      <c r="B8" s="4" cm="1">
        <f t="array" ref="B8">INDEX(Szenarien!B:K, $B$1+1, 6)</f>
        <v>10</v>
      </c>
      <c r="C8" s="4">
        <f>Lösungen!B7</f>
        <v>3</v>
      </c>
      <c r="D8" s="4">
        <f t="shared" si="0"/>
        <v>30</v>
      </c>
      <c r="E8" s="4">
        <f>Lösungen!C7</f>
        <v>2</v>
      </c>
      <c r="F8" s="4">
        <f t="shared" si="1"/>
        <v>20</v>
      </c>
      <c r="G8" s="4">
        <f>Lösungen!D7</f>
        <v>1</v>
      </c>
      <c r="H8" s="4">
        <f t="shared" si="2"/>
        <v>10</v>
      </c>
    </row>
    <row r="9" spans="1:8" x14ac:dyDescent="0.25">
      <c r="A9" s="4" t="s">
        <v>5</v>
      </c>
      <c r="B9" s="4" cm="1">
        <f t="array" ref="B9">INDEX(Szenarien!B:K, $B$1+1, 7)</f>
        <v>10</v>
      </c>
      <c r="C9" s="4">
        <f>Lösungen!B8</f>
        <v>2</v>
      </c>
      <c r="D9" s="4">
        <f t="shared" si="0"/>
        <v>20</v>
      </c>
      <c r="E9" s="4">
        <f>Lösungen!C8</f>
        <v>3</v>
      </c>
      <c r="F9" s="4">
        <f t="shared" si="1"/>
        <v>30</v>
      </c>
      <c r="G9" s="4">
        <f>Lösungen!D8</f>
        <v>1</v>
      </c>
      <c r="H9" s="4">
        <f t="shared" si="2"/>
        <v>10</v>
      </c>
    </row>
    <row r="10" spans="1:8" x14ac:dyDescent="0.25">
      <c r="A10" s="4" t="s">
        <v>25</v>
      </c>
      <c r="B10" s="4" cm="1">
        <f t="array" ref="B10">INDEX(Szenarien!B:K, $B$1+1, 8)</f>
        <v>10</v>
      </c>
      <c r="C10" s="4">
        <f>Lösungen!B9</f>
        <v>2</v>
      </c>
      <c r="D10" s="4">
        <f>PRODUCT(B10,C10)</f>
        <v>20</v>
      </c>
      <c r="E10" s="4">
        <f>Lösungen!C9</f>
        <v>3</v>
      </c>
      <c r="F10" s="4">
        <f>PRODUCT(B10,E10)</f>
        <v>30</v>
      </c>
      <c r="G10" s="4">
        <f>Lösungen!D9</f>
        <v>1</v>
      </c>
      <c r="H10" s="4">
        <f>PRODUCT(B10,G10)</f>
        <v>10</v>
      </c>
    </row>
    <row r="11" spans="1:8" x14ac:dyDescent="0.25">
      <c r="A11" s="4" t="s">
        <v>12</v>
      </c>
      <c r="B11" s="4" cm="1">
        <f t="array" ref="B11">INDEX(Szenarien!B:K, $B$1+1, 9)</f>
        <v>10</v>
      </c>
      <c r="C11" s="4">
        <f>Lösungen!B10</f>
        <v>3</v>
      </c>
      <c r="D11" s="4">
        <f>PRODUCT(B11,C11)</f>
        <v>30</v>
      </c>
      <c r="E11" s="4">
        <f>Lösungen!C10</f>
        <v>1</v>
      </c>
      <c r="F11" s="4">
        <f>PRODUCT(B11,E11)</f>
        <v>10</v>
      </c>
      <c r="G11" s="4">
        <f>Lösungen!D10</f>
        <v>2</v>
      </c>
      <c r="H11" s="4">
        <f>PRODUCT(B11,G11)</f>
        <v>20</v>
      </c>
    </row>
    <row r="12" spans="1:8" x14ac:dyDescent="0.25">
      <c r="A12" s="4" t="s">
        <v>6</v>
      </c>
      <c r="B12" s="4" cm="1">
        <f t="array" ref="B12">INDEX(Szenarien!B:K, $B$1+1, 10)</f>
        <v>10</v>
      </c>
      <c r="C12" s="4">
        <f>Lösungen!B11</f>
        <v>3</v>
      </c>
      <c r="D12" s="4">
        <f t="shared" ref="D12" si="3">PRODUCT(B12,C12)</f>
        <v>30</v>
      </c>
      <c r="E12" s="4">
        <f>Lösungen!C11</f>
        <v>1</v>
      </c>
      <c r="F12" s="4">
        <f t="shared" ref="F12" si="4">PRODUCT(B12,E12)</f>
        <v>10</v>
      </c>
      <c r="G12" s="4">
        <f>Lösungen!D11</f>
        <v>2</v>
      </c>
      <c r="H12" s="4">
        <f t="shared" ref="H12" si="5">PRODUCT(B12,G12)</f>
        <v>20</v>
      </c>
    </row>
    <row r="13" spans="1:8" x14ac:dyDescent="0.25">
      <c r="A13" s="7" t="s">
        <v>18</v>
      </c>
      <c r="B13" s="7">
        <f>SUM(B3:B12)</f>
        <v>100</v>
      </c>
      <c r="C13" s="7"/>
      <c r="D13" s="7">
        <f t="shared" ref="D13:H13" si="6">SUM(D3:D12)</f>
        <v>250</v>
      </c>
      <c r="E13" s="7"/>
      <c r="F13" s="7">
        <f t="shared" si="6"/>
        <v>220</v>
      </c>
      <c r="G13" s="7"/>
      <c r="H13" s="7">
        <f t="shared" si="6"/>
        <v>180</v>
      </c>
    </row>
    <row r="14" spans="1:8" x14ac:dyDescent="0.25">
      <c r="A14" s="7" t="s">
        <v>19</v>
      </c>
      <c r="B14" s="7"/>
      <c r="C14" s="7"/>
      <c r="D14" s="7"/>
      <c r="E14" s="7"/>
      <c r="F14" s="7"/>
      <c r="G14" s="7"/>
      <c r="H14" s="7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</sheetData>
  <mergeCells count="3">
    <mergeCell ref="C1:D1"/>
    <mergeCell ref="E1:F1"/>
    <mergeCell ref="G1:H1"/>
  </mergeCell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0CE8-E0D5-43B2-A238-56757B626CEA}">
  <dimension ref="A1:E6"/>
  <sheetViews>
    <sheetView workbookViewId="0">
      <selection activeCell="E2" sqref="E2"/>
    </sheetView>
  </sheetViews>
  <sheetFormatPr baseColWidth="10" defaultRowHeight="15" x14ac:dyDescent="0.25"/>
  <cols>
    <col min="2" max="2" width="17.28515625" bestFit="1" customWidth="1"/>
    <col min="3" max="3" width="16.5703125" bestFit="1" customWidth="1"/>
    <col min="4" max="4" width="22.7109375" bestFit="1" customWidth="1"/>
  </cols>
  <sheetData>
    <row r="1" spans="1:5" x14ac:dyDescent="0.25">
      <c r="B1" t="s">
        <v>33</v>
      </c>
      <c r="C1" t="s">
        <v>38</v>
      </c>
      <c r="D1" t="s">
        <v>39</v>
      </c>
      <c r="E1" t="s">
        <v>40</v>
      </c>
    </row>
    <row r="2" spans="1:5" x14ac:dyDescent="0.25">
      <c r="A2">
        <v>1</v>
      </c>
      <c r="B2" t="s">
        <v>34</v>
      </c>
      <c r="C2" t="s">
        <v>34</v>
      </c>
      <c r="D2" t="s">
        <v>34</v>
      </c>
      <c r="E2" t="s">
        <v>34</v>
      </c>
    </row>
    <row r="3" spans="1:5" x14ac:dyDescent="0.25">
      <c r="A3">
        <v>2</v>
      </c>
      <c r="B3" t="s">
        <v>35</v>
      </c>
      <c r="C3" t="s">
        <v>35</v>
      </c>
      <c r="D3" s="13" t="s">
        <v>37</v>
      </c>
      <c r="E3" s="13" t="s">
        <v>41</v>
      </c>
    </row>
    <row r="4" spans="1:5" x14ac:dyDescent="0.25">
      <c r="A4">
        <v>3</v>
      </c>
      <c r="B4" t="s">
        <v>36</v>
      </c>
      <c r="C4" t="s">
        <v>36</v>
      </c>
      <c r="D4" t="s">
        <v>36</v>
      </c>
      <c r="E4" t="s">
        <v>36</v>
      </c>
    </row>
    <row r="5" spans="1:5" x14ac:dyDescent="0.25">
      <c r="A5">
        <v>4</v>
      </c>
      <c r="B5" t="s">
        <v>37</v>
      </c>
      <c r="C5" s="13" t="s">
        <v>36</v>
      </c>
      <c r="D5" s="13" t="s">
        <v>36</v>
      </c>
      <c r="E5" s="13" t="s">
        <v>36</v>
      </c>
    </row>
    <row r="6" spans="1:5" x14ac:dyDescent="0.25">
      <c r="A6">
        <v>5</v>
      </c>
      <c r="B6" t="s">
        <v>35</v>
      </c>
      <c r="C6" t="s">
        <v>35</v>
      </c>
      <c r="D6" t="s">
        <v>35</v>
      </c>
      <c r="E6" s="13" t="s">
        <v>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Szenarien_old1</vt:lpstr>
      <vt:lpstr>Szenarien</vt:lpstr>
      <vt:lpstr>Lösungen</vt:lpstr>
      <vt:lpstr>Vorlage</vt:lpstr>
      <vt:lpstr>Szenario 1</vt:lpstr>
      <vt:lpstr>Szenario 2</vt:lpstr>
      <vt:lpstr>Szenario 3</vt:lpstr>
      <vt:lpstr>Szenario 4</vt:lpstr>
      <vt:lpstr>Szenario 5</vt:lpstr>
      <vt:lpstr>Szenario 0 - Neutral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Sieveneck</dc:creator>
  <cp:lastModifiedBy>Niclas Sieveneck</cp:lastModifiedBy>
  <dcterms:created xsi:type="dcterms:W3CDTF">2026-05-29T18:03:36Z</dcterms:created>
  <dcterms:modified xsi:type="dcterms:W3CDTF">2026-07-28T16:17:44Z</dcterms:modified>
</cp:coreProperties>
</file>