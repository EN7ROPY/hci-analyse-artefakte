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a471988a8a86cc1/Studium/Bachelor/Artefakte/"/>
    </mc:Choice>
  </mc:AlternateContent>
  <xr:revisionPtr revIDLastSave="359" documentId="8_{07ADA279-FDEA-4443-8009-F886D968C4FD}" xr6:coauthVersionLast="47" xr6:coauthVersionMax="47" xr10:uidLastSave="{52EEBF48-4981-41E3-8D4B-DDDC9E6D0BE8}"/>
  <bookViews>
    <workbookView xWindow="-120" yWindow="-120" windowWidth="38640" windowHeight="21120" activeTab="3" xr2:uid="{20C679E4-C9D8-48C4-B659-4235CD5DE514}"/>
  </bookViews>
  <sheets>
    <sheet name="Szenarien" sheetId="1" r:id="rId1"/>
    <sheet name="Lösungen" sheetId="7" r:id="rId2"/>
    <sheet name="Vorlage" sheetId="2" r:id="rId3"/>
    <sheet name="Szenario 1" sheetId="9" r:id="rId4"/>
    <sheet name="Szenario 2" sheetId="17" r:id="rId5"/>
    <sheet name="Szenario 3" sheetId="11" r:id="rId6"/>
    <sheet name="Szenario 4" sheetId="12" r:id="rId7"/>
    <sheet name="Szenario 5" sheetId="13" r:id="rId8"/>
    <sheet name="Szenario 0 - Referenz" sheetId="1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4" i="1" l="1"/>
  <c r="B25" i="1" s="1"/>
  <c r="E21" i="1" l="1"/>
  <c r="F21" i="1" s="1"/>
  <c r="E19" i="1"/>
  <c r="F19" i="1" s="1"/>
  <c r="E24" i="1"/>
  <c r="F24" i="1" s="1"/>
  <c r="E22" i="1"/>
  <c r="F22" i="1" s="1"/>
  <c r="E25" i="1"/>
  <c r="F25" i="1" s="1"/>
  <c r="E23" i="1"/>
  <c r="F23" i="1" s="1"/>
  <c r="E26" i="1"/>
  <c r="F26" i="1" s="1"/>
  <c r="E20" i="1"/>
  <c r="F20" i="1" s="1"/>
  <c r="G12" i="17" l="1"/>
  <c r="E12" i="17"/>
  <c r="C12" i="17"/>
  <c r="B12" i="17" a="1"/>
  <c r="B12" i="17" s="1"/>
  <c r="G11" i="17"/>
  <c r="E11" i="17"/>
  <c r="C11" i="17"/>
  <c r="B11" i="17" a="1"/>
  <c r="B11" i="17" s="1"/>
  <c r="G10" i="17"/>
  <c r="E10" i="17"/>
  <c r="C10" i="17"/>
  <c r="B10" i="17" a="1"/>
  <c r="B10" i="17" s="1"/>
  <c r="G9" i="17"/>
  <c r="E9" i="17"/>
  <c r="C9" i="17"/>
  <c r="B9" i="17" a="1"/>
  <c r="B9" i="17" s="1"/>
  <c r="G8" i="17"/>
  <c r="E8" i="17"/>
  <c r="C8" i="17"/>
  <c r="B8" i="17" a="1"/>
  <c r="B8" i="17" s="1"/>
  <c r="G7" i="17"/>
  <c r="E7" i="17"/>
  <c r="C7" i="17"/>
  <c r="B7" i="17" a="1"/>
  <c r="B7" i="17" s="1"/>
  <c r="G6" i="17"/>
  <c r="E6" i="17"/>
  <c r="C6" i="17"/>
  <c r="B6" i="17" a="1"/>
  <c r="B6" i="17" s="1"/>
  <c r="G5" i="17"/>
  <c r="E5" i="17"/>
  <c r="C5" i="17"/>
  <c r="B5" i="17" a="1"/>
  <c r="B5" i="17" s="1"/>
  <c r="G4" i="17"/>
  <c r="E4" i="17"/>
  <c r="C4" i="17"/>
  <c r="B4" i="17" a="1"/>
  <c r="B4" i="17" s="1"/>
  <c r="G3" i="17"/>
  <c r="E3" i="17"/>
  <c r="C3" i="17"/>
  <c r="B3" i="17" a="1"/>
  <c r="B3" i="17" s="1"/>
  <c r="G12" i="15"/>
  <c r="E12" i="15"/>
  <c r="C12" i="15"/>
  <c r="B12" i="15" a="1"/>
  <c r="B12" i="15" s="1"/>
  <c r="G11" i="15"/>
  <c r="E11" i="15"/>
  <c r="C11" i="15"/>
  <c r="B11" i="15" a="1"/>
  <c r="B11" i="15" s="1"/>
  <c r="G10" i="15"/>
  <c r="E10" i="15"/>
  <c r="C10" i="15"/>
  <c r="B10" i="15" a="1"/>
  <c r="B10" i="15" s="1"/>
  <c r="G9" i="15"/>
  <c r="E9" i="15"/>
  <c r="C9" i="15"/>
  <c r="B9" i="15" a="1"/>
  <c r="B9" i="15" s="1"/>
  <c r="G8" i="15"/>
  <c r="E8" i="15"/>
  <c r="C8" i="15"/>
  <c r="B8" i="15" a="1"/>
  <c r="B8" i="15" s="1"/>
  <c r="G7" i="15"/>
  <c r="E7" i="15"/>
  <c r="C7" i="15"/>
  <c r="B7" i="15" a="1"/>
  <c r="B7" i="15" s="1"/>
  <c r="G6" i="15"/>
  <c r="E6" i="15"/>
  <c r="C6" i="15"/>
  <c r="B6" i="15" a="1"/>
  <c r="B6" i="15" s="1"/>
  <c r="G5" i="15"/>
  <c r="E5" i="15"/>
  <c r="C5" i="15"/>
  <c r="B5" i="15" a="1"/>
  <c r="B5" i="15" s="1"/>
  <c r="G4" i="15"/>
  <c r="E4" i="15"/>
  <c r="C4" i="15"/>
  <c r="B4" i="15" a="1"/>
  <c r="B4" i="15" s="1"/>
  <c r="G3" i="15"/>
  <c r="E3" i="15"/>
  <c r="C3" i="15"/>
  <c r="B3" i="15" a="1"/>
  <c r="B3" i="15" s="1"/>
  <c r="L7" i="1"/>
  <c r="B3" i="9" a="1"/>
  <c r="B3" i="9" s="1"/>
  <c r="G12" i="13"/>
  <c r="E12" i="13"/>
  <c r="C12" i="13"/>
  <c r="B12" i="13" a="1"/>
  <c r="B12" i="13" s="1"/>
  <c r="G11" i="13"/>
  <c r="E11" i="13"/>
  <c r="C11" i="13"/>
  <c r="B11" i="13" a="1"/>
  <c r="B11" i="13" s="1"/>
  <c r="G10" i="13"/>
  <c r="E10" i="13"/>
  <c r="C10" i="13"/>
  <c r="B10" i="13" a="1"/>
  <c r="B10" i="13" s="1"/>
  <c r="G9" i="13"/>
  <c r="E9" i="13"/>
  <c r="C9" i="13"/>
  <c r="B9" i="13" a="1"/>
  <c r="B9" i="13" s="1"/>
  <c r="G8" i="13"/>
  <c r="E8" i="13"/>
  <c r="C8" i="13"/>
  <c r="B8" i="13" a="1"/>
  <c r="B8" i="13" s="1"/>
  <c r="G7" i="13"/>
  <c r="E7" i="13"/>
  <c r="C7" i="13"/>
  <c r="B7" i="13" a="1"/>
  <c r="B7" i="13" s="1"/>
  <c r="G6" i="13"/>
  <c r="E6" i="13"/>
  <c r="C6" i="13"/>
  <c r="B6" i="13" a="1"/>
  <c r="B6" i="13" s="1"/>
  <c r="G5" i="13"/>
  <c r="E5" i="13"/>
  <c r="C5" i="13"/>
  <c r="B5" i="13" a="1"/>
  <c r="B5" i="13" s="1"/>
  <c r="G4" i="13"/>
  <c r="E4" i="13"/>
  <c r="C4" i="13"/>
  <c r="B4" i="13" a="1"/>
  <c r="B4" i="13" s="1"/>
  <c r="G3" i="13"/>
  <c r="E3" i="13"/>
  <c r="C3" i="13"/>
  <c r="B3" i="13" a="1"/>
  <c r="B3" i="13" s="1"/>
  <c r="G12" i="12"/>
  <c r="E12" i="12"/>
  <c r="C12" i="12"/>
  <c r="B12" i="12" a="1"/>
  <c r="B12" i="12" s="1"/>
  <c r="G11" i="12"/>
  <c r="E11" i="12"/>
  <c r="C11" i="12"/>
  <c r="B11" i="12" a="1"/>
  <c r="B11" i="12" s="1"/>
  <c r="G10" i="12"/>
  <c r="E10" i="12"/>
  <c r="C10" i="12"/>
  <c r="B10" i="12" a="1"/>
  <c r="B10" i="12" s="1"/>
  <c r="G9" i="12"/>
  <c r="E9" i="12"/>
  <c r="C9" i="12"/>
  <c r="B9" i="12" a="1"/>
  <c r="B9" i="12" s="1"/>
  <c r="G8" i="12"/>
  <c r="E8" i="12"/>
  <c r="C8" i="12"/>
  <c r="B8" i="12" a="1"/>
  <c r="B8" i="12" s="1"/>
  <c r="G7" i="12"/>
  <c r="E7" i="12"/>
  <c r="C7" i="12"/>
  <c r="B7" i="12" a="1"/>
  <c r="B7" i="12" s="1"/>
  <c r="G6" i="12"/>
  <c r="E6" i="12"/>
  <c r="C6" i="12"/>
  <c r="B6" i="12" a="1"/>
  <c r="B6" i="12" s="1"/>
  <c r="G5" i="12"/>
  <c r="E5" i="12"/>
  <c r="C5" i="12"/>
  <c r="B5" i="12" a="1"/>
  <c r="B5" i="12" s="1"/>
  <c r="G4" i="12"/>
  <c r="E4" i="12"/>
  <c r="C4" i="12"/>
  <c r="B4" i="12" a="1"/>
  <c r="B4" i="12" s="1"/>
  <c r="G3" i="12"/>
  <c r="E3" i="12"/>
  <c r="C3" i="12"/>
  <c r="B3" i="12" a="1"/>
  <c r="B3" i="12" s="1"/>
  <c r="G12" i="11"/>
  <c r="E12" i="11"/>
  <c r="C12" i="11"/>
  <c r="B12" i="11" a="1"/>
  <c r="B12" i="11" s="1"/>
  <c r="G11" i="11"/>
  <c r="E11" i="11"/>
  <c r="C11" i="11"/>
  <c r="B11" i="11" a="1"/>
  <c r="B11" i="11" s="1"/>
  <c r="G10" i="11"/>
  <c r="E10" i="11"/>
  <c r="C10" i="11"/>
  <c r="B10" i="11" a="1"/>
  <c r="B10" i="11" s="1"/>
  <c r="G9" i="11"/>
  <c r="E9" i="11"/>
  <c r="C9" i="11"/>
  <c r="B9" i="11" a="1"/>
  <c r="B9" i="11" s="1"/>
  <c r="G8" i="11"/>
  <c r="E8" i="11"/>
  <c r="C8" i="11"/>
  <c r="B8" i="11" a="1"/>
  <c r="B8" i="11" s="1"/>
  <c r="G7" i="11"/>
  <c r="E7" i="11"/>
  <c r="C7" i="11"/>
  <c r="B7" i="11" a="1"/>
  <c r="B7" i="11" s="1"/>
  <c r="G6" i="11"/>
  <c r="E6" i="11"/>
  <c r="C6" i="11"/>
  <c r="B6" i="11" a="1"/>
  <c r="B6" i="11" s="1"/>
  <c r="G5" i="11"/>
  <c r="E5" i="11"/>
  <c r="C5" i="11"/>
  <c r="B5" i="11" a="1"/>
  <c r="B5" i="11" s="1"/>
  <c r="G4" i="11"/>
  <c r="E4" i="11"/>
  <c r="C4" i="11"/>
  <c r="B4" i="11" a="1"/>
  <c r="B4" i="11" s="1"/>
  <c r="G3" i="11"/>
  <c r="E3" i="11"/>
  <c r="C3" i="11"/>
  <c r="B3" i="11" a="1"/>
  <c r="B3" i="11" s="1"/>
  <c r="G12" i="9"/>
  <c r="E12" i="9"/>
  <c r="C12" i="9"/>
  <c r="B12" i="9" a="1"/>
  <c r="B12" i="9" s="1"/>
  <c r="G11" i="9"/>
  <c r="E11" i="9"/>
  <c r="C11" i="9"/>
  <c r="B11" i="9" a="1"/>
  <c r="B11" i="9" s="1"/>
  <c r="G10" i="9"/>
  <c r="E10" i="9"/>
  <c r="C10" i="9"/>
  <c r="B10" i="9" a="1"/>
  <c r="B10" i="9" s="1"/>
  <c r="G9" i="9"/>
  <c r="E9" i="9"/>
  <c r="C9" i="9"/>
  <c r="B9" i="9" a="1"/>
  <c r="B9" i="9" s="1"/>
  <c r="G8" i="9"/>
  <c r="E8" i="9"/>
  <c r="C8" i="9"/>
  <c r="B8" i="9" a="1"/>
  <c r="B8" i="9" s="1"/>
  <c r="G7" i="9"/>
  <c r="E7" i="9"/>
  <c r="C7" i="9"/>
  <c r="B7" i="9" a="1"/>
  <c r="B7" i="9" s="1"/>
  <c r="G6" i="9"/>
  <c r="E6" i="9"/>
  <c r="C6" i="9"/>
  <c r="B6" i="9" a="1"/>
  <c r="B6" i="9" s="1"/>
  <c r="G5" i="9"/>
  <c r="E5" i="9"/>
  <c r="C5" i="9"/>
  <c r="B5" i="9" a="1"/>
  <c r="B5" i="9" s="1"/>
  <c r="G4" i="9"/>
  <c r="E4" i="9"/>
  <c r="C4" i="9"/>
  <c r="B4" i="9" a="1"/>
  <c r="B4" i="9" s="1"/>
  <c r="G3" i="9"/>
  <c r="E3" i="9"/>
  <c r="C3" i="9"/>
  <c r="B12" i="2" a="1"/>
  <c r="B12" i="2" s="1"/>
  <c r="B11" i="2" a="1"/>
  <c r="B11" i="2" s="1"/>
  <c r="B10" i="2" a="1"/>
  <c r="B10" i="2" s="1"/>
  <c r="B9" i="2" a="1"/>
  <c r="B9" i="2" s="1"/>
  <c r="B8" i="2" a="1"/>
  <c r="B8" i="2" s="1"/>
  <c r="B7" i="2" a="1"/>
  <c r="B7" i="2" s="1"/>
  <c r="B6" i="2" a="1"/>
  <c r="B6" i="2" s="1"/>
  <c r="B5" i="2" a="1"/>
  <c r="B5" i="2" s="1"/>
  <c r="B4" i="2" a="1"/>
  <c r="B4" i="2" s="1"/>
  <c r="B3" i="2" a="1"/>
  <c r="B3" i="2" s="1"/>
  <c r="G4" i="2"/>
  <c r="G5" i="2"/>
  <c r="G6" i="2"/>
  <c r="G7" i="2"/>
  <c r="G8" i="2"/>
  <c r="G9" i="2"/>
  <c r="G10" i="2"/>
  <c r="G11" i="2"/>
  <c r="G12" i="2"/>
  <c r="G3" i="2"/>
  <c r="E4" i="2"/>
  <c r="E5" i="2"/>
  <c r="E6" i="2"/>
  <c r="E7" i="2"/>
  <c r="E8" i="2"/>
  <c r="E9" i="2"/>
  <c r="E10" i="2"/>
  <c r="E11" i="2"/>
  <c r="E12" i="2"/>
  <c r="E3" i="2"/>
  <c r="C5" i="2"/>
  <c r="C6" i="2"/>
  <c r="C7" i="2"/>
  <c r="C8" i="2"/>
  <c r="C9" i="2"/>
  <c r="C10" i="2"/>
  <c r="C11" i="2"/>
  <c r="C12" i="2"/>
  <c r="C4" i="2"/>
  <c r="C3" i="2"/>
  <c r="L3" i="1"/>
  <c r="L4" i="1"/>
  <c r="L5" i="1"/>
  <c r="L6" i="1"/>
  <c r="L2" i="1"/>
  <c r="D5" i="17" l="1"/>
  <c r="F5" i="17"/>
  <c r="H5" i="17"/>
  <c r="H6" i="17"/>
  <c r="F6" i="17"/>
  <c r="D6" i="17"/>
  <c r="H4" i="17"/>
  <c r="F4" i="17"/>
  <c r="D4" i="17"/>
  <c r="D7" i="17"/>
  <c r="H7" i="17"/>
  <c r="F7" i="17"/>
  <c r="H10" i="17"/>
  <c r="F10" i="17"/>
  <c r="D10" i="17"/>
  <c r="D11" i="17"/>
  <c r="H11" i="17"/>
  <c r="F11" i="17"/>
  <c r="H12" i="17"/>
  <c r="F12" i="17"/>
  <c r="D12" i="17"/>
  <c r="D9" i="17"/>
  <c r="H9" i="17"/>
  <c r="F9" i="17"/>
  <c r="D3" i="17"/>
  <c r="B13" i="17"/>
  <c r="H3" i="17"/>
  <c r="F3" i="17"/>
  <c r="H8" i="17"/>
  <c r="F8" i="17"/>
  <c r="D8" i="17"/>
  <c r="D5" i="15"/>
  <c r="H5" i="15"/>
  <c r="F5" i="15"/>
  <c r="H10" i="15"/>
  <c r="F10" i="15"/>
  <c r="D10" i="15"/>
  <c r="D7" i="15"/>
  <c r="H7" i="15"/>
  <c r="F7" i="15"/>
  <c r="H6" i="15"/>
  <c r="D6" i="15"/>
  <c r="F6" i="15"/>
  <c r="H4" i="15"/>
  <c r="F4" i="15"/>
  <c r="D4" i="15"/>
  <c r="D9" i="15"/>
  <c r="H9" i="15"/>
  <c r="F9" i="15"/>
  <c r="D11" i="15"/>
  <c r="F11" i="15"/>
  <c r="H11" i="15"/>
  <c r="H8" i="15"/>
  <c r="F8" i="15"/>
  <c r="D8" i="15"/>
  <c r="D3" i="15"/>
  <c r="H3" i="15"/>
  <c r="F3" i="15"/>
  <c r="B13" i="15"/>
  <c r="H12" i="15"/>
  <c r="F12" i="15"/>
  <c r="D12" i="15"/>
  <c r="D5" i="13"/>
  <c r="H5" i="13"/>
  <c r="F5" i="13"/>
  <c r="H4" i="13"/>
  <c r="F4" i="13"/>
  <c r="D4" i="13"/>
  <c r="D9" i="13"/>
  <c r="H9" i="13"/>
  <c r="F9" i="13"/>
  <c r="H10" i="13"/>
  <c r="D10" i="13"/>
  <c r="F10" i="13"/>
  <c r="D3" i="13"/>
  <c r="H3" i="13"/>
  <c r="B13" i="13"/>
  <c r="F3" i="13"/>
  <c r="D7" i="13"/>
  <c r="H7" i="13"/>
  <c r="F7" i="13"/>
  <c r="H12" i="13"/>
  <c r="F12" i="13"/>
  <c r="D12" i="13"/>
  <c r="D6" i="13"/>
  <c r="H6" i="13"/>
  <c r="F6" i="13"/>
  <c r="D11" i="13"/>
  <c r="F11" i="13"/>
  <c r="H11" i="13"/>
  <c r="H8" i="13"/>
  <c r="F8" i="13"/>
  <c r="D8" i="13"/>
  <c r="D9" i="12"/>
  <c r="F9" i="12"/>
  <c r="H9" i="12"/>
  <c r="D5" i="12"/>
  <c r="H5" i="12"/>
  <c r="F5" i="12"/>
  <c r="H10" i="12"/>
  <c r="F10" i="12"/>
  <c r="D10" i="12"/>
  <c r="D3" i="12"/>
  <c r="B13" i="12"/>
  <c r="F3" i="12"/>
  <c r="H3" i="12"/>
  <c r="H6" i="12"/>
  <c r="F6" i="12"/>
  <c r="D6" i="12"/>
  <c r="D7" i="12"/>
  <c r="H7" i="12"/>
  <c r="F7" i="12"/>
  <c r="H8" i="12"/>
  <c r="F8" i="12"/>
  <c r="D8" i="12"/>
  <c r="D11" i="12"/>
  <c r="H11" i="12"/>
  <c r="F11" i="12"/>
  <c r="F4" i="12"/>
  <c r="H4" i="12"/>
  <c r="D4" i="12"/>
  <c r="H12" i="12"/>
  <c r="F12" i="12"/>
  <c r="D12" i="12"/>
  <c r="D9" i="11"/>
  <c r="H9" i="11"/>
  <c r="F9" i="11"/>
  <c r="H10" i="11"/>
  <c r="F10" i="11"/>
  <c r="D10" i="11"/>
  <c r="D3" i="11"/>
  <c r="B13" i="11"/>
  <c r="F3" i="11"/>
  <c r="H3" i="11"/>
  <c r="D5" i="11"/>
  <c r="H5" i="11"/>
  <c r="F5" i="11"/>
  <c r="H6" i="11"/>
  <c r="F6" i="11"/>
  <c r="D6" i="11"/>
  <c r="D7" i="11"/>
  <c r="H7" i="11"/>
  <c r="F7" i="11"/>
  <c r="H12" i="11"/>
  <c r="F12" i="11"/>
  <c r="D12" i="11"/>
  <c r="D11" i="11"/>
  <c r="H11" i="11"/>
  <c r="F11" i="11"/>
  <c r="H4" i="11"/>
  <c r="F4" i="11"/>
  <c r="D4" i="11"/>
  <c r="H8" i="11"/>
  <c r="F8" i="11"/>
  <c r="D8" i="11"/>
  <c r="D9" i="9"/>
  <c r="F9" i="9"/>
  <c r="H9" i="9"/>
  <c r="H10" i="9"/>
  <c r="F10" i="9"/>
  <c r="D10" i="9"/>
  <c r="D3" i="9"/>
  <c r="F3" i="9"/>
  <c r="B13" i="9"/>
  <c r="H3" i="9"/>
  <c r="D11" i="9"/>
  <c r="F11" i="9"/>
  <c r="H11" i="9"/>
  <c r="H4" i="9"/>
  <c r="F4" i="9"/>
  <c r="D4" i="9"/>
  <c r="H12" i="9"/>
  <c r="F12" i="9"/>
  <c r="D12" i="9"/>
  <c r="D5" i="9"/>
  <c r="F5" i="9"/>
  <c r="H5" i="9"/>
  <c r="H6" i="9"/>
  <c r="D6" i="9"/>
  <c r="F6" i="9"/>
  <c r="D7" i="9"/>
  <c r="H7" i="9"/>
  <c r="F7" i="9"/>
  <c r="H8" i="9"/>
  <c r="D8" i="9"/>
  <c r="F8" i="9"/>
  <c r="D11" i="2"/>
  <c r="D12" i="2"/>
  <c r="F9" i="2"/>
  <c r="D9" i="2"/>
  <c r="D10" i="2"/>
  <c r="F10" i="2"/>
  <c r="F8" i="2"/>
  <c r="H8" i="2"/>
  <c r="D8" i="2"/>
  <c r="H7" i="2"/>
  <c r="D7" i="2"/>
  <c r="F7" i="2"/>
  <c r="H6" i="2"/>
  <c r="F6" i="2"/>
  <c r="D6" i="2"/>
  <c r="F5" i="2"/>
  <c r="H5" i="2"/>
  <c r="D5" i="2"/>
  <c r="D4" i="2"/>
  <c r="H4" i="2"/>
  <c r="F4" i="2"/>
  <c r="H12" i="2"/>
  <c r="H11" i="2"/>
  <c r="H9" i="2"/>
  <c r="H10" i="2"/>
  <c r="F12" i="2"/>
  <c r="F11" i="2"/>
  <c r="D3" i="2"/>
  <c r="F3" i="2"/>
  <c r="B13" i="2"/>
  <c r="H3" i="2"/>
  <c r="M2" i="1"/>
  <c r="D13" i="17" l="1"/>
  <c r="D14" i="17" s="1"/>
  <c r="H13" i="17"/>
  <c r="H14" i="17" s="1"/>
  <c r="F13" i="17"/>
  <c r="F13" i="15"/>
  <c r="F14" i="15" s="1"/>
  <c r="H13" i="15"/>
  <c r="H14" i="15" s="1"/>
  <c r="D13" i="15"/>
  <c r="D14" i="15" s="1"/>
  <c r="H13" i="13"/>
  <c r="H14" i="13" s="1"/>
  <c r="F13" i="13"/>
  <c r="F14" i="13" s="1"/>
  <c r="F13" i="12"/>
  <c r="F14" i="12" s="1"/>
  <c r="D13" i="13"/>
  <c r="D14" i="13" s="1"/>
  <c r="H13" i="12"/>
  <c r="H14" i="12" s="1"/>
  <c r="D13" i="12"/>
  <c r="D14" i="12" s="1"/>
  <c r="H13" i="11"/>
  <c r="H14" i="11" s="1"/>
  <c r="D13" i="11"/>
  <c r="D14" i="11" s="1"/>
  <c r="F13" i="11"/>
  <c r="F14" i="11" s="1"/>
  <c r="D13" i="9"/>
  <c r="D14" i="9" s="1"/>
  <c r="F13" i="9"/>
  <c r="F14" i="9" s="1"/>
  <c r="H13" i="9"/>
  <c r="H14" i="9" s="1"/>
  <c r="D13" i="2"/>
  <c r="D14" i="2" s="1"/>
  <c r="H13" i="2"/>
  <c r="H14" i="2" s="1"/>
  <c r="F13" i="2"/>
  <c r="F14" i="2" s="1"/>
  <c r="D15" i="17" l="1"/>
  <c r="F14" i="17"/>
  <c r="D15" i="11"/>
  <c r="D15" i="2"/>
  <c r="H15" i="9"/>
  <c r="F15" i="9"/>
  <c r="H15" i="12"/>
  <c r="F15" i="12"/>
  <c r="H15" i="13"/>
  <c r="F15" i="13"/>
  <c r="D15" i="12"/>
  <c r="D15" i="13"/>
  <c r="H15" i="15"/>
  <c r="F15" i="15"/>
  <c r="H15" i="11"/>
  <c r="F15" i="11"/>
  <c r="D15" i="15"/>
  <c r="H15" i="2"/>
  <c r="F15" i="2"/>
  <c r="D15" i="9"/>
  <c r="H15" i="17"/>
  <c r="F15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<sst xmlns="http://schemas.openxmlformats.org/spreadsheetml/2006/main" count="221" uniqueCount="40">
  <si>
    <t>Szenario</t>
  </si>
  <si>
    <t>Kosten</t>
  </si>
  <si>
    <t>Skalierbarkeit</t>
  </si>
  <si>
    <t>Hochverfügbarkeit</t>
  </si>
  <si>
    <t>Multi-Cloud-Fähigkeit</t>
  </si>
  <si>
    <t>Storage-Features</t>
  </si>
  <si>
    <t>Automatisierbarkeit</t>
  </si>
  <si>
    <t>Support</t>
  </si>
  <si>
    <t>Migrationsaufwand</t>
  </si>
  <si>
    <t>Kriterium</t>
  </si>
  <si>
    <t>Hybrid-/Multi-Cloud-Fähigkeit</t>
  </si>
  <si>
    <t>Gewichtung</t>
  </si>
  <si>
    <t>Nutanix</t>
  </si>
  <si>
    <t>Summe</t>
  </si>
  <si>
    <t>Rang</t>
  </si>
  <si>
    <t>Unified Storage</t>
  </si>
  <si>
    <t>Mittel</t>
  </si>
  <si>
    <t>Proxmox mit Ceph</t>
  </si>
  <si>
    <t>Szenario:</t>
  </si>
  <si>
    <t>#</t>
  </si>
  <si>
    <t>Benutzerfreundlichkeit</t>
  </si>
  <si>
    <t>VMware/Broadcom</t>
  </si>
  <si>
    <t>Kühnapfel, 2021:</t>
  </si>
  <si>
    <t>Die Gewichte aller anderen Kriterien werden pro rata reduziert."</t>
  </si>
  <si>
    <t>Wichtigste Kriterien</t>
  </si>
  <si>
    <t>Zwischenrechnung:</t>
  </si>
  <si>
    <t>Top1:</t>
  </si>
  <si>
    <t>Top2:</t>
  </si>
  <si>
    <t>Restbuget:</t>
  </si>
  <si>
    <t>Faktor:</t>
  </si>
  <si>
    <t>Restwete:</t>
  </si>
  <si>
    <t>Mulipliziert:</t>
  </si>
  <si>
    <t>Gerundet:</t>
  </si>
  <si>
    <t>Skalierungsfaktor</t>
  </si>
  <si>
    <t>Weitere Kriterien</t>
  </si>
  <si>
    <t>Top Werte vorher *1,25</t>
  </si>
  <si>
    <t xml:space="preserve">"Es hat sich aber die Faustregel bewährt, nach der die Gewichte der ca. 20 % wichtigsten Kriterien um 25 % erhöht werden. </t>
  </si>
  <si>
    <t>Score</t>
  </si>
  <si>
    <t>Bewertung</t>
  </si>
  <si>
    <t>Normiert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</si>
</sst>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3F3F3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">
    <xf numFmtId="0" fontId="0" fillId="0" borderId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7" applyNumberFormat="0" applyAlignment="0" applyProtection="0"/>
  </cellStyleXfs>
  <cellXfs count="25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0" xfId="0" applyFont="1"/>
    <xf numFmtId="0" fontId="2" fillId="0" borderId="2" xfId="0" applyFont="1" applyBorder="1"/>
    <xf numFmtId="0" fontId="0" fillId="2" borderId="2" xfId="0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1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0" fillId="0" borderId="2" xfId="0" applyBorder="1"/>
    <xf numFmtId="0" fontId="3" fillId="3" borderId="0" xfId="1"/>
    <xf numFmtId="0" fontId="3" fillId="3" borderId="1" xfId="1" applyBorder="1" applyAlignment="1">
      <alignment vertical="center" wrapText="1"/>
    </xf>
    <xf numFmtId="0" fontId="3" fillId="3" borderId="4" xfId="1" applyBorder="1" applyAlignment="1">
      <alignment vertical="center" wrapText="1"/>
    </xf>
    <xf numFmtId="0" fontId="4" fillId="4" borderId="0" xfId="2"/>
    <xf numFmtId="0" fontId="4" fillId="4" borderId="1" xfId="2" applyBorder="1" applyAlignment="1">
      <alignment vertical="center" wrapText="1"/>
    </xf>
    <xf numFmtId="0" fontId="3" fillId="3" borderId="2" xfId="1" applyBorder="1"/>
    <xf numFmtId="0" fontId="4" fillId="4" borderId="2" xfId="2" applyBorder="1"/>
    <xf numFmtId="0" fontId="0" fillId="0" borderId="5" xfId="0" applyBorder="1"/>
    <xf numFmtId="0" fontId="4" fillId="4" borderId="4" xfId="2" applyBorder="1" applyAlignment="1">
      <alignment vertical="center" wrapText="1"/>
    </xf>
    <xf numFmtId="0" fontId="5" fillId="5" borderId="7" xfId="3"/>
    <xf numFmtId="0" fontId="0" fillId="2" borderId="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</cellXfs>
  <cellStyles count="4">
    <cellStyle name="Ausgabe" xfId="3" builtinId="21"/>
    <cellStyle name="Gut" xfId="1" builtinId="26"/>
    <cellStyle name="Neutral" xfId="2" builtinId="2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5B26-C307-4627-BFB9-E5F80460B961}">
  <dimension ref="A1:N27"/>
  <sheetViews>
    <sheetView zoomScale="160" zoomScaleNormal="160" workbookViewId="0">
      <selection activeCell="B12" sqref="B12"/>
    </sheetView>
  </sheetViews>
  <sheetFormatPr baseColWidth="10" defaultRowHeight="15" x14ac:dyDescent="0.25"/>
  <cols>
    <col min="14" max="14" width="16.5703125" bestFit="1" customWidth="1"/>
  </cols>
  <sheetData>
    <row r="1" spans="1:14" ht="45.75" thickBot="1" x14ac:dyDescent="0.3">
      <c r="A1" s="7" t="s">
        <v>0</v>
      </c>
      <c r="B1" s="7" t="s">
        <v>1</v>
      </c>
      <c r="C1" s="7" t="s">
        <v>7</v>
      </c>
      <c r="D1" s="7" t="s">
        <v>8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15</v>
      </c>
      <c r="J1" s="7" t="s">
        <v>20</v>
      </c>
      <c r="K1" s="7" t="s">
        <v>6</v>
      </c>
      <c r="L1" s="4" t="s">
        <v>13</v>
      </c>
      <c r="M1" s="4" t="s">
        <v>16</v>
      </c>
      <c r="N1" s="4" t="s">
        <v>33</v>
      </c>
    </row>
    <row r="2" spans="1:14" ht="15.75" thickBot="1" x14ac:dyDescent="0.3">
      <c r="A2" s="7">
        <v>1</v>
      </c>
      <c r="B2" s="12">
        <v>62.5</v>
      </c>
      <c r="C2" s="15">
        <v>2.68</v>
      </c>
      <c r="D2" s="1">
        <v>0</v>
      </c>
      <c r="E2" s="12">
        <v>18.75</v>
      </c>
      <c r="F2" s="15">
        <v>5.36</v>
      </c>
      <c r="G2" s="1">
        <v>0</v>
      </c>
      <c r="H2" s="15">
        <v>2.68</v>
      </c>
      <c r="I2" s="1">
        <v>0</v>
      </c>
      <c r="J2" s="15">
        <v>5.36</v>
      </c>
      <c r="K2" s="15">
        <v>2.68</v>
      </c>
      <c r="L2" s="4">
        <f t="shared" ref="L2:L7" si="0">SUM(B2:K2)</f>
        <v>100.01000000000002</v>
      </c>
      <c r="M2" s="21">
        <f>AVERAGE(L2:L6)</f>
        <v>99.996000000000009</v>
      </c>
      <c r="N2" s="10">
        <v>0.5357142857142857</v>
      </c>
    </row>
    <row r="3" spans="1:14" ht="15.75" thickBot="1" x14ac:dyDescent="0.3">
      <c r="A3" s="7">
        <v>2</v>
      </c>
      <c r="B3" s="12">
        <v>18.75</v>
      </c>
      <c r="C3" s="15">
        <v>2.5</v>
      </c>
      <c r="D3" s="12">
        <v>18.75</v>
      </c>
      <c r="E3" s="15">
        <v>1.25</v>
      </c>
      <c r="F3" s="12">
        <v>18.75</v>
      </c>
      <c r="G3" s="12">
        <v>18.75</v>
      </c>
      <c r="H3" s="15">
        <v>1.25</v>
      </c>
      <c r="I3" s="1">
        <v>0</v>
      </c>
      <c r="J3" s="12">
        <v>18.75</v>
      </c>
      <c r="K3" s="15">
        <v>1.25</v>
      </c>
      <c r="L3" s="4">
        <f t="shared" si="0"/>
        <v>100</v>
      </c>
      <c r="M3" s="22"/>
      <c r="N3" s="10">
        <v>0.25</v>
      </c>
    </row>
    <row r="4" spans="1:14" ht="15.75" thickBot="1" x14ac:dyDescent="0.3">
      <c r="A4" s="7">
        <v>3</v>
      </c>
      <c r="B4" s="12">
        <v>18.75</v>
      </c>
      <c r="C4" s="15">
        <v>2.5</v>
      </c>
      <c r="D4" s="12">
        <v>18.75</v>
      </c>
      <c r="E4" s="15">
        <v>1.25</v>
      </c>
      <c r="F4" s="15">
        <v>1.25</v>
      </c>
      <c r="G4" s="1">
        <v>0</v>
      </c>
      <c r="H4" s="12">
        <v>18.75</v>
      </c>
      <c r="I4" s="12">
        <v>18.75</v>
      </c>
      <c r="J4" s="12">
        <v>18.75</v>
      </c>
      <c r="K4" s="15">
        <v>1.25</v>
      </c>
      <c r="L4" s="4">
        <f t="shared" si="0"/>
        <v>100</v>
      </c>
      <c r="M4" s="22"/>
      <c r="N4" s="10">
        <v>0.25</v>
      </c>
    </row>
    <row r="5" spans="1:14" ht="15.75" thickBot="1" x14ac:dyDescent="0.3">
      <c r="A5" s="7">
        <v>4</v>
      </c>
      <c r="B5" s="15">
        <v>7.95</v>
      </c>
      <c r="C5" s="15">
        <v>7.95</v>
      </c>
      <c r="D5" s="15">
        <v>7.95</v>
      </c>
      <c r="E5" s="15">
        <v>7.95</v>
      </c>
      <c r="F5" s="12">
        <v>18.75</v>
      </c>
      <c r="G5" s="1">
        <v>0</v>
      </c>
      <c r="H5" s="12">
        <v>18.75</v>
      </c>
      <c r="I5" s="12">
        <v>18.75</v>
      </c>
      <c r="J5" s="15">
        <v>7.95</v>
      </c>
      <c r="K5" s="15">
        <v>3.98</v>
      </c>
      <c r="L5" s="4">
        <f t="shared" si="0"/>
        <v>99.98</v>
      </c>
      <c r="M5" s="22"/>
      <c r="N5" s="10">
        <v>0.79545454545454541</v>
      </c>
    </row>
    <row r="6" spans="1:14" x14ac:dyDescent="0.25">
      <c r="A6" s="8">
        <v>5</v>
      </c>
      <c r="B6" s="19">
        <v>3.98</v>
      </c>
      <c r="C6" s="13">
        <v>18.75</v>
      </c>
      <c r="D6" s="19">
        <v>7.95</v>
      </c>
      <c r="E6" s="19">
        <v>7.95</v>
      </c>
      <c r="F6" s="13">
        <v>18.75</v>
      </c>
      <c r="G6" s="13">
        <v>18.75</v>
      </c>
      <c r="H6" s="19">
        <v>7.95</v>
      </c>
      <c r="I6" s="19">
        <v>3.98</v>
      </c>
      <c r="J6" s="19">
        <v>3.98</v>
      </c>
      <c r="K6" s="19">
        <v>7.95</v>
      </c>
      <c r="L6" s="4">
        <f t="shared" si="0"/>
        <v>99.990000000000009</v>
      </c>
      <c r="M6" s="22"/>
      <c r="N6" s="10">
        <v>0.79545454545454541</v>
      </c>
    </row>
    <row r="7" spans="1:14" x14ac:dyDescent="0.25">
      <c r="A7" s="7">
        <v>0</v>
      </c>
      <c r="B7" s="9">
        <v>10</v>
      </c>
      <c r="C7" s="9">
        <v>10</v>
      </c>
      <c r="D7" s="9">
        <v>10</v>
      </c>
      <c r="E7" s="9">
        <v>10</v>
      </c>
      <c r="F7" s="9">
        <v>10</v>
      </c>
      <c r="G7" s="9">
        <v>10</v>
      </c>
      <c r="H7" s="9">
        <v>10</v>
      </c>
      <c r="I7" s="9">
        <v>10</v>
      </c>
      <c r="J7" s="9">
        <v>10</v>
      </c>
      <c r="K7" s="9">
        <v>10</v>
      </c>
      <c r="L7" s="4">
        <f t="shared" si="0"/>
        <v>100</v>
      </c>
      <c r="M7" s="23"/>
      <c r="N7" s="10"/>
    </row>
    <row r="9" spans="1:14" x14ac:dyDescent="0.25">
      <c r="A9" s="11" t="s">
        <v>24</v>
      </c>
      <c r="B9" s="11"/>
    </row>
    <row r="10" spans="1:14" x14ac:dyDescent="0.25">
      <c r="A10" s="14" t="s">
        <v>34</v>
      </c>
      <c r="B10" s="14"/>
    </row>
    <row r="13" spans="1:14" x14ac:dyDescent="0.25">
      <c r="A13" t="s">
        <v>22</v>
      </c>
    </row>
    <row r="14" spans="1:14" x14ac:dyDescent="0.25">
      <c r="A14" t="s">
        <v>36</v>
      </c>
    </row>
    <row r="15" spans="1:14" x14ac:dyDescent="0.25">
      <c r="A15" t="s">
        <v>23</v>
      </c>
    </row>
    <row r="18" spans="1:6" x14ac:dyDescent="0.25">
      <c r="A18" s="10" t="s">
        <v>25</v>
      </c>
      <c r="B18" s="10"/>
      <c r="C18" s="10" t="s">
        <v>30</v>
      </c>
      <c r="D18" s="10"/>
      <c r="E18" s="10" t="s">
        <v>31</v>
      </c>
      <c r="F18" s="10" t="s">
        <v>32</v>
      </c>
    </row>
    <row r="19" spans="1:6" x14ac:dyDescent="0.25">
      <c r="A19" s="10" t="s">
        <v>26</v>
      </c>
      <c r="B19" s="16"/>
      <c r="C19" s="10">
        <v>1</v>
      </c>
      <c r="D19" s="17"/>
      <c r="E19" s="10" t="e">
        <f>D19*$B$25</f>
        <v>#DIV/0!</v>
      </c>
      <c r="F19" s="10" t="e">
        <f>ROUND(E19,2)</f>
        <v>#DIV/0!</v>
      </c>
    </row>
    <row r="20" spans="1:6" x14ac:dyDescent="0.25">
      <c r="A20" s="10" t="s">
        <v>27</v>
      </c>
      <c r="B20" s="16"/>
      <c r="C20" s="10">
        <v>2</v>
      </c>
      <c r="D20" s="17"/>
      <c r="E20" s="10" t="e">
        <f t="shared" ref="E20:E26" si="1">D20*$B$25</f>
        <v>#DIV/0!</v>
      </c>
      <c r="F20" s="10" t="e">
        <f t="shared" ref="F20:F26" si="2">ROUND(E20,2)</f>
        <v>#DIV/0!</v>
      </c>
    </row>
    <row r="21" spans="1:6" x14ac:dyDescent="0.25">
      <c r="A21" s="10" t="s">
        <v>27</v>
      </c>
      <c r="B21" s="16"/>
      <c r="C21" s="10">
        <v>3</v>
      </c>
      <c r="D21" s="17"/>
      <c r="E21" s="10" t="e">
        <f t="shared" si="1"/>
        <v>#DIV/0!</v>
      </c>
      <c r="F21" s="10" t="e">
        <f t="shared" si="2"/>
        <v>#DIV/0!</v>
      </c>
    </row>
    <row r="22" spans="1:6" x14ac:dyDescent="0.25">
      <c r="A22" s="10" t="s">
        <v>27</v>
      </c>
      <c r="B22" s="16"/>
      <c r="C22" s="10">
        <v>4</v>
      </c>
      <c r="D22" s="17"/>
      <c r="E22" s="10" t="e">
        <f t="shared" si="1"/>
        <v>#DIV/0!</v>
      </c>
      <c r="F22" s="10" t="e">
        <f t="shared" si="2"/>
        <v>#DIV/0!</v>
      </c>
    </row>
    <row r="23" spans="1:6" x14ac:dyDescent="0.25">
      <c r="A23" s="10" t="s">
        <v>27</v>
      </c>
      <c r="B23" s="16"/>
      <c r="C23" s="10">
        <v>5</v>
      </c>
      <c r="D23" s="17"/>
      <c r="E23" s="10" t="e">
        <f t="shared" si="1"/>
        <v>#DIV/0!</v>
      </c>
      <c r="F23" s="10" t="e">
        <f t="shared" si="2"/>
        <v>#DIV/0!</v>
      </c>
    </row>
    <row r="24" spans="1:6" x14ac:dyDescent="0.25">
      <c r="A24" s="10" t="s">
        <v>28</v>
      </c>
      <c r="B24" s="10">
        <f>100-(SUM(B19:B23))</f>
        <v>100</v>
      </c>
      <c r="C24" s="10">
        <v>6</v>
      </c>
      <c r="D24" s="17"/>
      <c r="E24" s="10" t="e">
        <f>D24*$B$25</f>
        <v>#DIV/0!</v>
      </c>
      <c r="F24" s="10" t="e">
        <f t="shared" si="2"/>
        <v>#DIV/0!</v>
      </c>
    </row>
    <row r="25" spans="1:6" x14ac:dyDescent="0.25">
      <c r="A25" s="10" t="s">
        <v>29</v>
      </c>
      <c r="B25" s="20" t="e">
        <f>B24/(SUM(D19:D26))</f>
        <v>#DIV/0!</v>
      </c>
      <c r="C25" s="10">
        <v>7</v>
      </c>
      <c r="D25" s="17"/>
      <c r="E25" s="10" t="e">
        <f t="shared" si="1"/>
        <v>#DIV/0!</v>
      </c>
      <c r="F25" s="10" t="e">
        <f t="shared" si="2"/>
        <v>#DIV/0!</v>
      </c>
    </row>
    <row r="26" spans="1:6" x14ac:dyDescent="0.25">
      <c r="A26" s="10"/>
      <c r="B26" s="10"/>
      <c r="C26" s="10">
        <v>8</v>
      </c>
      <c r="D26" s="17"/>
      <c r="E26" s="10" t="e">
        <f t="shared" si="1"/>
        <v>#DIV/0!</v>
      </c>
      <c r="F26" s="10" t="e">
        <f t="shared" si="2"/>
        <v>#DIV/0!</v>
      </c>
    </row>
    <row r="27" spans="1:6" x14ac:dyDescent="0.25">
      <c r="A27" s="18" t="s">
        <v>35</v>
      </c>
    </row>
  </sheetData>
  <mergeCells count="1">
    <mergeCell ref="M2:M7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0522C-D307-4272-8586-B326A6E69815}">
  <dimension ref="A1:D12"/>
  <sheetViews>
    <sheetView zoomScale="160" zoomScaleNormal="160" workbookViewId="0">
      <selection activeCell="B17" sqref="B17"/>
    </sheetView>
  </sheetViews>
  <sheetFormatPr baseColWidth="10" defaultRowHeight="15" x14ac:dyDescent="0.25"/>
  <cols>
    <col min="1" max="1" width="27.85546875" bestFit="1" customWidth="1"/>
    <col min="2" max="2" width="19.140625" bestFit="1" customWidth="1"/>
    <col min="4" max="4" width="19" bestFit="1" customWidth="1"/>
  </cols>
  <sheetData>
    <row r="1" spans="1:4" x14ac:dyDescent="0.25">
      <c r="A1" s="5" t="s">
        <v>9</v>
      </c>
      <c r="B1" s="5" t="s">
        <v>21</v>
      </c>
      <c r="C1" s="5" t="s">
        <v>12</v>
      </c>
      <c r="D1" s="5" t="s">
        <v>17</v>
      </c>
    </row>
    <row r="2" spans="1:4" x14ac:dyDescent="0.25">
      <c r="A2" s="3" t="s">
        <v>1</v>
      </c>
      <c r="B2" s="3">
        <v>1</v>
      </c>
      <c r="C2" s="3">
        <v>2</v>
      </c>
      <c r="D2" s="3">
        <v>3</v>
      </c>
    </row>
    <row r="3" spans="1:4" x14ac:dyDescent="0.25">
      <c r="A3" s="3" t="s">
        <v>7</v>
      </c>
      <c r="B3" s="3">
        <v>3</v>
      </c>
      <c r="C3" s="3">
        <v>3</v>
      </c>
      <c r="D3" s="3">
        <v>1</v>
      </c>
    </row>
    <row r="4" spans="1:4" x14ac:dyDescent="0.25">
      <c r="A4" s="3" t="s">
        <v>8</v>
      </c>
      <c r="B4" s="3">
        <v>1</v>
      </c>
      <c r="C4" s="3">
        <v>3</v>
      </c>
      <c r="D4" s="3">
        <v>2</v>
      </c>
    </row>
    <row r="5" spans="1:4" x14ac:dyDescent="0.25">
      <c r="A5" s="3" t="s">
        <v>2</v>
      </c>
      <c r="B5" s="3">
        <v>3</v>
      </c>
      <c r="C5" s="3">
        <v>3</v>
      </c>
      <c r="D5" s="3">
        <v>3</v>
      </c>
    </row>
    <row r="6" spans="1:4" x14ac:dyDescent="0.25">
      <c r="A6" s="3" t="s">
        <v>3</v>
      </c>
      <c r="B6" s="3">
        <v>3</v>
      </c>
      <c r="C6" s="3">
        <v>2</v>
      </c>
      <c r="D6" s="3">
        <v>2</v>
      </c>
    </row>
    <row r="7" spans="1:4" x14ac:dyDescent="0.25">
      <c r="A7" s="3" t="s">
        <v>10</v>
      </c>
      <c r="B7" s="3">
        <v>3</v>
      </c>
      <c r="C7" s="3">
        <v>2</v>
      </c>
      <c r="D7" s="3">
        <v>1</v>
      </c>
    </row>
    <row r="8" spans="1:4" x14ac:dyDescent="0.25">
      <c r="A8" s="3" t="s">
        <v>5</v>
      </c>
      <c r="B8" s="3">
        <v>2</v>
      </c>
      <c r="C8" s="3">
        <v>3</v>
      </c>
      <c r="D8" s="3">
        <v>1</v>
      </c>
    </row>
    <row r="9" spans="1:4" x14ac:dyDescent="0.25">
      <c r="A9" s="3" t="s">
        <v>15</v>
      </c>
      <c r="B9" s="3">
        <v>2</v>
      </c>
      <c r="C9" s="3">
        <v>3</v>
      </c>
      <c r="D9" s="3">
        <v>1</v>
      </c>
    </row>
    <row r="10" spans="1:4" x14ac:dyDescent="0.25">
      <c r="A10" s="3" t="s">
        <v>20</v>
      </c>
      <c r="B10" s="3">
        <v>3</v>
      </c>
      <c r="C10" s="3">
        <v>1</v>
      </c>
      <c r="D10" s="3">
        <v>2</v>
      </c>
    </row>
    <row r="11" spans="1:4" x14ac:dyDescent="0.25">
      <c r="A11" s="3" t="s">
        <v>6</v>
      </c>
      <c r="B11" s="3">
        <v>3</v>
      </c>
      <c r="C11" s="3">
        <v>1</v>
      </c>
      <c r="D11" s="3">
        <v>2</v>
      </c>
    </row>
    <row r="12" spans="1:4" x14ac:dyDescent="0.25">
      <c r="A12" s="2"/>
      <c r="B12" s="2"/>
      <c r="C12" s="2"/>
      <c r="D12" s="2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1F278-3573-456D-9F04-D37AF5426834}">
  <dimension ref="A1:H16"/>
  <sheetViews>
    <sheetView zoomScale="160" zoomScaleNormal="160" workbookViewId="0">
      <selection activeCell="B20" sqref="B20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 t="s">
        <v>19</v>
      </c>
      <c r="C1" s="24" t="s">
        <v>21</v>
      </c>
      <c r="D1" s="24"/>
      <c r="E1" s="24" t="s">
        <v>12</v>
      </c>
      <c r="F1" s="24"/>
      <c r="G1" s="24" t="s">
        <v>17</v>
      </c>
      <c r="H1" s="24"/>
    </row>
    <row r="2" spans="1:8" x14ac:dyDescent="0.25">
      <c r="A2" s="5" t="s">
        <v>9</v>
      </c>
      <c r="B2" s="5" t="s">
        <v>11</v>
      </c>
      <c r="C2" s="5" t="s">
        <v>38</v>
      </c>
      <c r="D2" s="5" t="s">
        <v>37</v>
      </c>
      <c r="E2" s="5" t="s">
        <v>38</v>
      </c>
      <c r="F2" s="5" t="s">
        <v>37</v>
      </c>
      <c r="G2" s="5" t="s">
        <v>38</v>
      </c>
      <c r="H2" s="5" t="s">
        <v>37</v>
      </c>
    </row>
    <row r="3" spans="1:8" x14ac:dyDescent="0.25">
      <c r="A3" s="3" t="s">
        <v>1</v>
      </c>
      <c r="B3" s="3" t="e" cm="1">
        <f t="array" ref="B3">INDEX(Szenarien!B:K, $B$1+1, 1)</f>
        <v>#VALUE!</v>
      </c>
      <c r="C3" s="3">
        <f>Lösungen!B2</f>
        <v>1</v>
      </c>
      <c r="D3" s="3" t="e">
        <f>PRODUCT(B3,C3)</f>
        <v>#VALUE!</v>
      </c>
      <c r="E3" s="3">
        <f>Lösungen!C2</f>
        <v>2</v>
      </c>
      <c r="F3" s="3" t="e">
        <f>PRODUCT(B3,E3)</f>
        <v>#VALUE!</v>
      </c>
      <c r="G3" s="3">
        <f>Lösungen!D2</f>
        <v>3</v>
      </c>
      <c r="H3" s="3" t="e">
        <f>PRODUCT(B3,G3)</f>
        <v>#VALUE!</v>
      </c>
    </row>
    <row r="4" spans="1:8" x14ac:dyDescent="0.25">
      <c r="A4" s="3" t="s">
        <v>7</v>
      </c>
      <c r="B4" s="3" t="e" cm="1">
        <f t="array" ref="B4">INDEX(Szenarien!B:K, $B$1+1, 2)</f>
        <v>#VALUE!</v>
      </c>
      <c r="C4" s="3">
        <f>Lösungen!B3</f>
        <v>3</v>
      </c>
      <c r="D4" s="3" t="e">
        <f>PRODUCT(B4,C4)</f>
        <v>#VALUE!</v>
      </c>
      <c r="E4" s="3">
        <f>Lösungen!C3</f>
        <v>3</v>
      </c>
      <c r="F4" s="3" t="e">
        <f>PRODUCT(B4,E4)</f>
        <v>#VALUE!</v>
      </c>
      <c r="G4" s="3">
        <f>Lösungen!D3</f>
        <v>1</v>
      </c>
      <c r="H4" s="3" t="e">
        <f>PRODUCT(B4,G4)</f>
        <v>#VALUE!</v>
      </c>
    </row>
    <row r="5" spans="1:8" x14ac:dyDescent="0.25">
      <c r="A5" s="3" t="s">
        <v>8</v>
      </c>
      <c r="B5" s="3" t="e" cm="1">
        <f t="array" ref="B5">INDEX(Szenarien!B:K, $B$1+1, 3)</f>
        <v>#VALUE!</v>
      </c>
      <c r="C5" s="3">
        <f>Lösungen!B4</f>
        <v>1</v>
      </c>
      <c r="D5" s="3" t="e">
        <f t="shared" ref="D5:D12" si="0">PRODUCT(B5,C5)</f>
        <v>#VALUE!</v>
      </c>
      <c r="E5" s="3">
        <f>Lösungen!C4</f>
        <v>3</v>
      </c>
      <c r="F5" s="3" t="e">
        <f t="shared" ref="F5:F12" si="1">PRODUCT(B5,E5)</f>
        <v>#VALUE!</v>
      </c>
      <c r="G5" s="3">
        <f>Lösungen!D4</f>
        <v>2</v>
      </c>
      <c r="H5" s="3" t="e">
        <f t="shared" ref="H5:H12" si="2">PRODUCT(B5,G5)</f>
        <v>#VALUE!</v>
      </c>
    </row>
    <row r="6" spans="1:8" x14ac:dyDescent="0.25">
      <c r="A6" s="3" t="s">
        <v>2</v>
      </c>
      <c r="B6" s="3" t="e" cm="1">
        <f t="array" ref="B6">INDEX(Szenarien!B:K, $B$1+1, 4)</f>
        <v>#VALUE!</v>
      </c>
      <c r="C6" s="3">
        <f>Lösungen!B5</f>
        <v>3</v>
      </c>
      <c r="D6" s="3" t="e">
        <f t="shared" si="0"/>
        <v>#VALUE!</v>
      </c>
      <c r="E6" s="3">
        <f>Lösungen!C5</f>
        <v>3</v>
      </c>
      <c r="F6" s="3" t="e">
        <f t="shared" si="1"/>
        <v>#VALUE!</v>
      </c>
      <c r="G6" s="3">
        <f>Lösungen!D5</f>
        <v>3</v>
      </c>
      <c r="H6" s="3" t="e">
        <f t="shared" si="2"/>
        <v>#VALUE!</v>
      </c>
    </row>
    <row r="7" spans="1:8" x14ac:dyDescent="0.25">
      <c r="A7" s="3" t="s">
        <v>3</v>
      </c>
      <c r="B7" s="3" t="e" cm="1">
        <f t="array" ref="B7">INDEX(Szenarien!B:K, $B$1+1, 5)</f>
        <v>#VALUE!</v>
      </c>
      <c r="C7" s="3">
        <f>Lösungen!B6</f>
        <v>3</v>
      </c>
      <c r="D7" s="3" t="e">
        <f t="shared" si="0"/>
        <v>#VALUE!</v>
      </c>
      <c r="E7" s="3">
        <f>Lösungen!C6</f>
        <v>2</v>
      </c>
      <c r="F7" s="3" t="e">
        <f t="shared" si="1"/>
        <v>#VALUE!</v>
      </c>
      <c r="G7" s="3">
        <f>Lösungen!D6</f>
        <v>2</v>
      </c>
      <c r="H7" s="3" t="e">
        <f t="shared" si="2"/>
        <v>#VALUE!</v>
      </c>
    </row>
    <row r="8" spans="1:8" x14ac:dyDescent="0.25">
      <c r="A8" s="3" t="s">
        <v>10</v>
      </c>
      <c r="B8" s="3" t="e" cm="1">
        <f t="array" ref="B8">INDEX(Szenarien!B:K, $B$1+1, 6)</f>
        <v>#VALUE!</v>
      </c>
      <c r="C8" s="3">
        <f>Lösungen!B7</f>
        <v>3</v>
      </c>
      <c r="D8" s="3" t="e">
        <f t="shared" si="0"/>
        <v>#VALUE!</v>
      </c>
      <c r="E8" s="3">
        <f>Lösungen!C7</f>
        <v>2</v>
      </c>
      <c r="F8" s="3" t="e">
        <f t="shared" si="1"/>
        <v>#VALUE!</v>
      </c>
      <c r="G8" s="3">
        <f>Lösungen!D7</f>
        <v>1</v>
      </c>
      <c r="H8" s="3" t="e">
        <f t="shared" si="2"/>
        <v>#VALUE!</v>
      </c>
    </row>
    <row r="9" spans="1:8" x14ac:dyDescent="0.25">
      <c r="A9" s="3" t="s">
        <v>5</v>
      </c>
      <c r="B9" s="3" t="e" cm="1">
        <f t="array" ref="B9">INDEX(Szenarien!B:K, $B$1+1, 7)</f>
        <v>#VALUE!</v>
      </c>
      <c r="C9" s="3">
        <f>Lösungen!B8</f>
        <v>2</v>
      </c>
      <c r="D9" s="3" t="e">
        <f t="shared" si="0"/>
        <v>#VALUE!</v>
      </c>
      <c r="E9" s="3">
        <f>Lösungen!C8</f>
        <v>3</v>
      </c>
      <c r="F9" s="3" t="e">
        <f t="shared" si="1"/>
        <v>#VALUE!</v>
      </c>
      <c r="G9" s="3">
        <f>Lösungen!D8</f>
        <v>1</v>
      </c>
      <c r="H9" s="3" t="e">
        <f t="shared" si="2"/>
        <v>#VALUE!</v>
      </c>
    </row>
    <row r="10" spans="1:8" x14ac:dyDescent="0.25">
      <c r="A10" s="3" t="s">
        <v>15</v>
      </c>
      <c r="B10" s="3" t="e" cm="1">
        <f t="array" ref="B10">INDEX(Szenarien!B:K, $B$1+1, 8)</f>
        <v>#VALUE!</v>
      </c>
      <c r="C10" s="3">
        <f>Lösungen!B9</f>
        <v>2</v>
      </c>
      <c r="D10" s="3" t="e">
        <f>PRODUCT(B10,C10)</f>
        <v>#VALUE!</v>
      </c>
      <c r="E10" s="3">
        <f>Lösungen!C9</f>
        <v>3</v>
      </c>
      <c r="F10" s="3" t="e">
        <f>PRODUCT(B10,E10)</f>
        <v>#VALUE!</v>
      </c>
      <c r="G10" s="3">
        <f>Lösungen!D9</f>
        <v>1</v>
      </c>
      <c r="H10" s="3" t="e">
        <f>PRODUCT(B10,G10)</f>
        <v>#VALUE!</v>
      </c>
    </row>
    <row r="11" spans="1:8" x14ac:dyDescent="0.25">
      <c r="A11" s="3" t="s">
        <v>20</v>
      </c>
      <c r="B11" s="3" t="e" cm="1">
        <f t="array" ref="B11">INDEX(Szenarien!B:K, $B$1+1, 9)</f>
        <v>#VALUE!</v>
      </c>
      <c r="C11" s="3">
        <f>Lösungen!B10</f>
        <v>3</v>
      </c>
      <c r="D11" s="3" t="e">
        <f>PRODUCT(B11,C11)</f>
        <v>#VALUE!</v>
      </c>
      <c r="E11" s="3">
        <f>Lösungen!C10</f>
        <v>1</v>
      </c>
      <c r="F11" s="3" t="e">
        <f>PRODUCT(B11,E11)</f>
        <v>#VALUE!</v>
      </c>
      <c r="G11" s="3">
        <f>Lösungen!D10</f>
        <v>2</v>
      </c>
      <c r="H11" s="3" t="e">
        <f>PRODUCT(B11,G11)</f>
        <v>#VALUE!</v>
      </c>
    </row>
    <row r="12" spans="1:8" x14ac:dyDescent="0.25">
      <c r="A12" s="3" t="s">
        <v>6</v>
      </c>
      <c r="B12" s="3" t="e" cm="1">
        <f t="array" ref="B12">INDEX(Szenarien!B:K, $B$1+1, 10)</f>
        <v>#VALUE!</v>
      </c>
      <c r="C12" s="3">
        <f>Lösungen!B11</f>
        <v>3</v>
      </c>
      <c r="D12" s="3" t="e">
        <f t="shared" si="0"/>
        <v>#VALUE!</v>
      </c>
      <c r="E12" s="3">
        <f>Lösungen!C11</f>
        <v>1</v>
      </c>
      <c r="F12" s="3" t="e">
        <f t="shared" si="1"/>
        <v>#VALUE!</v>
      </c>
      <c r="G12" s="3">
        <f>Lösungen!D11</f>
        <v>2</v>
      </c>
      <c r="H12" s="3" t="e">
        <f t="shared" si="2"/>
        <v>#VALUE!</v>
      </c>
    </row>
    <row r="13" spans="1:8" x14ac:dyDescent="0.25">
      <c r="A13" s="6" t="s">
        <v>13</v>
      </c>
      <c r="B13" s="6" t="e">
        <f>SUM(B3:B12)</f>
        <v>#VALUE!</v>
      </c>
      <c r="C13" s="6"/>
      <c r="D13" s="6" t="e">
        <f t="shared" ref="D13:H13" si="3">SUM(D3:D12)</f>
        <v>#VALUE!</v>
      </c>
      <c r="E13" s="6"/>
      <c r="F13" s="6" t="e">
        <f t="shared" si="3"/>
        <v>#VALUE!</v>
      </c>
      <c r="G13" s="6"/>
      <c r="H13" s="6" t="e">
        <f t="shared" si="3"/>
        <v>#VALUE!</v>
      </c>
    </row>
    <row r="14" spans="1:8" x14ac:dyDescent="0.25">
      <c r="A14" s="6" t="s">
        <v>39</v>
      </c>
      <c r="B14" s="6"/>
      <c r="C14" s="6"/>
      <c r="D14" s="6" t="e">
        <f>(D13-100)/2</f>
        <v>#VALUE!</v>
      </c>
      <c r="E14" s="6"/>
      <c r="F14" s="6" t="e">
        <f>(F13-100)/2</f>
        <v>#VALUE!</v>
      </c>
      <c r="G14" s="6"/>
      <c r="H14" s="6" t="e">
        <f>(H13-100)/2</f>
        <v>#VALUE!</v>
      </c>
    </row>
    <row r="15" spans="1:8" x14ac:dyDescent="0.25">
      <c r="A15" s="6" t="s">
        <v>14</v>
      </c>
      <c r="B15" s="6"/>
      <c r="C15" s="6"/>
      <c r="D15" s="6" t="e">
        <f>1+(F13&gt;D13)+(H13&gt;D13)</f>
        <v>#VALUE!</v>
      </c>
      <c r="E15" s="6"/>
      <c r="F15" s="6" t="e">
        <f>1+(D13&gt;F13)+(H13&gt;F13)</f>
        <v>#VALUE!</v>
      </c>
      <c r="G15" s="6"/>
      <c r="H15" s="6" t="e">
        <f>1+(D13&gt;H13)+(F13&gt;H13)</f>
        <v>#VALUE!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A8880-D037-4F7B-AF8F-E0B2DBB4D0DD}">
  <dimension ref="A1:H16"/>
  <sheetViews>
    <sheetView tabSelected="1" zoomScale="160" zoomScaleNormal="160" workbookViewId="0">
      <selection activeCell="B21" sqref="B21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1</v>
      </c>
      <c r="C1" s="24" t="s">
        <v>21</v>
      </c>
      <c r="D1" s="24"/>
      <c r="E1" s="24" t="s">
        <v>12</v>
      </c>
      <c r="F1" s="24"/>
      <c r="G1" s="24" t="s">
        <v>17</v>
      </c>
      <c r="H1" s="24"/>
    </row>
    <row r="2" spans="1:8" x14ac:dyDescent="0.25">
      <c r="A2" s="5" t="s">
        <v>9</v>
      </c>
      <c r="B2" s="5" t="s">
        <v>11</v>
      </c>
      <c r="C2" s="5" t="s">
        <v>38</v>
      </c>
      <c r="D2" s="5" t="s">
        <v>37</v>
      </c>
      <c r="E2" s="5" t="s">
        <v>38</v>
      </c>
      <c r="F2" s="5" t="s">
        <v>37</v>
      </c>
      <c r="G2" s="5" t="s">
        <v>38</v>
      </c>
      <c r="H2" s="5" t="s">
        <v>37</v>
      </c>
    </row>
    <row r="3" spans="1:8" x14ac:dyDescent="0.25">
      <c r="A3" s="3" t="s">
        <v>1</v>
      </c>
      <c r="B3" s="3" cm="1">
        <f t="array" ref="B3">INDEX(Szenarien!B:K, $B$1+1, 1)</f>
        <v>62.5</v>
      </c>
      <c r="C3" s="3">
        <f>Lösungen!B2</f>
        <v>1</v>
      </c>
      <c r="D3" s="3">
        <f>PRODUCT(B3,C3)</f>
        <v>62.5</v>
      </c>
      <c r="E3" s="3">
        <f>Lösungen!C2</f>
        <v>2</v>
      </c>
      <c r="F3" s="3">
        <f>PRODUCT(B3,E3)</f>
        <v>125</v>
      </c>
      <c r="G3" s="3">
        <f>Lösungen!D2</f>
        <v>3</v>
      </c>
      <c r="H3" s="3">
        <f>PRODUCT(B3,G3)</f>
        <v>187.5</v>
      </c>
    </row>
    <row r="4" spans="1:8" x14ac:dyDescent="0.25">
      <c r="A4" s="3" t="s">
        <v>7</v>
      </c>
      <c r="B4" s="3" cm="1">
        <f t="array" ref="B4">INDEX(Szenarien!B:K, $B$1+1, 2)</f>
        <v>2.68</v>
      </c>
      <c r="C4" s="3">
        <f>Lösungen!B3</f>
        <v>3</v>
      </c>
      <c r="D4" s="3">
        <f>PRODUCT(B4,C4)</f>
        <v>8.0400000000000009</v>
      </c>
      <c r="E4" s="3">
        <f>Lösungen!C3</f>
        <v>3</v>
      </c>
      <c r="F4" s="3">
        <f>PRODUCT(B4,E4)</f>
        <v>8.0400000000000009</v>
      </c>
      <c r="G4" s="3">
        <f>Lösungen!D3</f>
        <v>1</v>
      </c>
      <c r="H4" s="3">
        <f>PRODUCT(B4,G4)</f>
        <v>2.68</v>
      </c>
    </row>
    <row r="5" spans="1:8" x14ac:dyDescent="0.25">
      <c r="A5" s="3" t="s">
        <v>8</v>
      </c>
      <c r="B5" s="3" cm="1">
        <f t="array" ref="B5">INDEX(Szenarien!B:K, $B$1+1, 3)</f>
        <v>0</v>
      </c>
      <c r="C5" s="3">
        <f>Lösungen!B4</f>
        <v>1</v>
      </c>
      <c r="D5" s="3">
        <f t="shared" ref="D5:D9" si="0">PRODUCT(B5,C5)</f>
        <v>0</v>
      </c>
      <c r="E5" s="3">
        <f>Lösungen!C4</f>
        <v>3</v>
      </c>
      <c r="F5" s="3">
        <f t="shared" ref="F5:F9" si="1">PRODUCT(B5,E5)</f>
        <v>0</v>
      </c>
      <c r="G5" s="3">
        <f>Lösungen!D4</f>
        <v>2</v>
      </c>
      <c r="H5" s="3">
        <f t="shared" ref="H5:H9" si="2">PRODUCT(B5,G5)</f>
        <v>0</v>
      </c>
    </row>
    <row r="6" spans="1:8" x14ac:dyDescent="0.25">
      <c r="A6" s="3" t="s">
        <v>2</v>
      </c>
      <c r="B6" s="3" cm="1">
        <f t="array" ref="B6">INDEX(Szenarien!B:K, $B$1+1, 4)</f>
        <v>18.75</v>
      </c>
      <c r="C6" s="3">
        <f>Lösungen!B5</f>
        <v>3</v>
      </c>
      <c r="D6" s="3">
        <f t="shared" si="0"/>
        <v>56.25</v>
      </c>
      <c r="E6" s="3">
        <f>Lösungen!C5</f>
        <v>3</v>
      </c>
      <c r="F6" s="3">
        <f t="shared" si="1"/>
        <v>56.25</v>
      </c>
      <c r="G6" s="3">
        <f>Lösungen!D5</f>
        <v>3</v>
      </c>
      <c r="H6" s="3">
        <f t="shared" si="2"/>
        <v>56.25</v>
      </c>
    </row>
    <row r="7" spans="1:8" x14ac:dyDescent="0.25">
      <c r="A7" s="3" t="s">
        <v>3</v>
      </c>
      <c r="B7" s="3" cm="1">
        <f t="array" ref="B7">INDEX(Szenarien!B:K, $B$1+1, 5)</f>
        <v>5.36</v>
      </c>
      <c r="C7" s="3">
        <f>Lösungen!B6</f>
        <v>3</v>
      </c>
      <c r="D7" s="3">
        <f t="shared" si="0"/>
        <v>16.080000000000002</v>
      </c>
      <c r="E7" s="3">
        <f>Lösungen!C6</f>
        <v>2</v>
      </c>
      <c r="F7" s="3">
        <f t="shared" si="1"/>
        <v>10.72</v>
      </c>
      <c r="G7" s="3">
        <f>Lösungen!D6</f>
        <v>2</v>
      </c>
      <c r="H7" s="3">
        <f t="shared" si="2"/>
        <v>10.72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2.68</v>
      </c>
      <c r="C9" s="3">
        <f>Lösungen!B8</f>
        <v>2</v>
      </c>
      <c r="D9" s="3">
        <f t="shared" si="0"/>
        <v>5.36</v>
      </c>
      <c r="E9" s="3">
        <f>Lösungen!C8</f>
        <v>3</v>
      </c>
      <c r="F9" s="3">
        <f t="shared" si="1"/>
        <v>8.0400000000000009</v>
      </c>
      <c r="G9" s="3">
        <f>Lösungen!D8</f>
        <v>1</v>
      </c>
      <c r="H9" s="3">
        <f t="shared" si="2"/>
        <v>2.68</v>
      </c>
    </row>
    <row r="10" spans="1:8" x14ac:dyDescent="0.25">
      <c r="A10" s="3" t="s">
        <v>15</v>
      </c>
      <c r="B10" s="3" cm="1">
        <f t="array" ref="B10">INDEX(Szenarien!B:K, $B$1+1, 8)</f>
        <v>0</v>
      </c>
      <c r="C10" s="3">
        <f>Lösungen!B9</f>
        <v>2</v>
      </c>
      <c r="D10" s="3">
        <f>PRODUCT(B10,C10)</f>
        <v>0</v>
      </c>
      <c r="E10" s="3">
        <f>Lösungen!C9</f>
        <v>3</v>
      </c>
      <c r="F10" s="3">
        <f>PRODUCT(B10,E10)</f>
        <v>0</v>
      </c>
      <c r="G10" s="3">
        <f>Lösungen!D9</f>
        <v>1</v>
      </c>
      <c r="H10" s="3">
        <f>PRODUCT(B10,G10)</f>
        <v>0</v>
      </c>
    </row>
    <row r="11" spans="1:8" x14ac:dyDescent="0.25">
      <c r="A11" s="3" t="s">
        <v>20</v>
      </c>
      <c r="B11" s="3" cm="1">
        <f t="array" ref="B11">INDEX(Szenarien!B:K, $B$1+1, 9)</f>
        <v>5.36</v>
      </c>
      <c r="C11" s="3">
        <f>Lösungen!B10</f>
        <v>3</v>
      </c>
      <c r="D11" s="3">
        <f>PRODUCT(B11,C11)</f>
        <v>16.080000000000002</v>
      </c>
      <c r="E11" s="3">
        <f>Lösungen!C10</f>
        <v>1</v>
      </c>
      <c r="F11" s="3">
        <f>PRODUCT(B11,E11)</f>
        <v>5.36</v>
      </c>
      <c r="G11" s="3">
        <f>Lösungen!D10</f>
        <v>2</v>
      </c>
      <c r="H11" s="3">
        <f>PRODUCT(B11,G11)</f>
        <v>10.72</v>
      </c>
    </row>
    <row r="12" spans="1:8" x14ac:dyDescent="0.25">
      <c r="A12" s="3" t="s">
        <v>6</v>
      </c>
      <c r="B12" s="3" cm="1">
        <f t="array" ref="B12">INDEX(Szenarien!B:K, $B$1+1, 10)</f>
        <v>2.68</v>
      </c>
      <c r="C12" s="3">
        <f>Lösungen!B11</f>
        <v>3</v>
      </c>
      <c r="D12" s="3">
        <f t="shared" ref="D12" si="3">PRODUCT(B12,C12)</f>
        <v>8.0400000000000009</v>
      </c>
      <c r="E12" s="3">
        <f>Lösungen!C11</f>
        <v>1</v>
      </c>
      <c r="F12" s="3">
        <f t="shared" ref="F12" si="4">PRODUCT(B12,E12)</f>
        <v>2.68</v>
      </c>
      <c r="G12" s="3">
        <f>Lösungen!D11</f>
        <v>2</v>
      </c>
      <c r="H12" s="3">
        <f t="shared" ref="H12" si="5">PRODUCT(B12,G12)</f>
        <v>5.36</v>
      </c>
    </row>
    <row r="13" spans="1:8" x14ac:dyDescent="0.25">
      <c r="A13" s="6" t="s">
        <v>13</v>
      </c>
      <c r="B13" s="6">
        <f>SUM(B3:B12)</f>
        <v>100.01000000000002</v>
      </c>
      <c r="C13" s="6"/>
      <c r="D13" s="6">
        <f t="shared" ref="D13:H13" si="6">SUM(D3:D12)</f>
        <v>172.35000000000002</v>
      </c>
      <c r="E13" s="6"/>
      <c r="F13" s="6">
        <f t="shared" si="6"/>
        <v>216.09</v>
      </c>
      <c r="G13" s="6"/>
      <c r="H13" s="6">
        <f t="shared" si="6"/>
        <v>275.91000000000008</v>
      </c>
    </row>
    <row r="14" spans="1:8" x14ac:dyDescent="0.25">
      <c r="A14" s="6" t="s">
        <v>39</v>
      </c>
      <c r="B14" s="6"/>
      <c r="C14" s="6"/>
      <c r="D14" s="6">
        <f>(D13-100)/2</f>
        <v>36.175000000000011</v>
      </c>
      <c r="E14" s="6"/>
      <c r="F14" s="6">
        <f>(F13-100)/2</f>
        <v>58.045000000000002</v>
      </c>
      <c r="G14" s="6"/>
      <c r="H14" s="6">
        <f>(H13-100)/2</f>
        <v>87.955000000000041</v>
      </c>
    </row>
    <row r="15" spans="1:8" x14ac:dyDescent="0.25">
      <c r="A15" s="6" t="s">
        <v>14</v>
      </c>
      <c r="B15" s="6"/>
      <c r="C15" s="6"/>
      <c r="D15" s="6">
        <f>1+(F13&gt;D13)+(H13&gt;D13)</f>
        <v>3</v>
      </c>
      <c r="E15" s="6"/>
      <c r="F15" s="6">
        <f>1+(D13&gt;F13)+(H13&gt;F13)</f>
        <v>2</v>
      </c>
      <c r="G15" s="6"/>
      <c r="H15" s="6">
        <f>1+(D13&gt;H13)+(F13&gt;H13)</f>
        <v>1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D9049-AE8F-48E7-96CF-575B5EEDD492}">
  <dimension ref="A1:H16"/>
  <sheetViews>
    <sheetView zoomScale="160" zoomScaleNormal="160" workbookViewId="0">
      <selection activeCell="C22" sqref="C22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2</v>
      </c>
      <c r="C1" s="24" t="s">
        <v>21</v>
      </c>
      <c r="D1" s="24"/>
      <c r="E1" s="24" t="s">
        <v>12</v>
      </c>
      <c r="F1" s="24"/>
      <c r="G1" s="24" t="s">
        <v>17</v>
      </c>
      <c r="H1" s="24"/>
    </row>
    <row r="2" spans="1:8" x14ac:dyDescent="0.25">
      <c r="A2" s="5" t="s">
        <v>9</v>
      </c>
      <c r="B2" s="5" t="s">
        <v>11</v>
      </c>
      <c r="C2" s="5" t="s">
        <v>38</v>
      </c>
      <c r="D2" s="5" t="s">
        <v>37</v>
      </c>
      <c r="E2" s="5" t="s">
        <v>38</v>
      </c>
      <c r="F2" s="5" t="s">
        <v>37</v>
      </c>
      <c r="G2" s="5" t="s">
        <v>38</v>
      </c>
      <c r="H2" s="5" t="s">
        <v>37</v>
      </c>
    </row>
    <row r="3" spans="1:8" x14ac:dyDescent="0.25">
      <c r="A3" s="3" t="s">
        <v>1</v>
      </c>
      <c r="B3" s="3" cm="1">
        <f t="array" ref="B3">INDEX(Szenarien!B:K, $B$1+1, 1)</f>
        <v>18.75</v>
      </c>
      <c r="C3" s="3">
        <f>Lösungen!B2</f>
        <v>1</v>
      </c>
      <c r="D3" s="3">
        <f>PRODUCT(B3,C3)</f>
        <v>18.75</v>
      </c>
      <c r="E3" s="3">
        <f>Lösungen!C2</f>
        <v>2</v>
      </c>
      <c r="F3" s="3">
        <f>PRODUCT(B3,E3)</f>
        <v>37.5</v>
      </c>
      <c r="G3" s="3">
        <f>Lösungen!D2</f>
        <v>3</v>
      </c>
      <c r="H3" s="3">
        <f>PRODUCT(B3,G3)</f>
        <v>56.25</v>
      </c>
    </row>
    <row r="4" spans="1:8" x14ac:dyDescent="0.25">
      <c r="A4" s="3" t="s">
        <v>7</v>
      </c>
      <c r="B4" s="3" cm="1">
        <f t="array" ref="B4">INDEX(Szenarien!B:K, $B$1+1, 2)</f>
        <v>2.5</v>
      </c>
      <c r="C4" s="3">
        <f>Lösungen!B3</f>
        <v>3</v>
      </c>
      <c r="D4" s="3">
        <f>PRODUCT(B4,C4)</f>
        <v>7.5</v>
      </c>
      <c r="E4" s="3">
        <f>Lösungen!C3</f>
        <v>3</v>
      </c>
      <c r="F4" s="3">
        <f>PRODUCT(B4,E4)</f>
        <v>7.5</v>
      </c>
      <c r="G4" s="3">
        <f>Lösungen!D3</f>
        <v>1</v>
      </c>
      <c r="H4" s="3">
        <f>PRODUCT(B4,G4)</f>
        <v>2.5</v>
      </c>
    </row>
    <row r="5" spans="1:8" x14ac:dyDescent="0.25">
      <c r="A5" s="3" t="s">
        <v>8</v>
      </c>
      <c r="B5" s="3" cm="1">
        <f t="array" ref="B5">INDEX(Szenarien!B:K, $B$1+1, 3)</f>
        <v>18.75</v>
      </c>
      <c r="C5" s="3">
        <f>Lösungen!B4</f>
        <v>1</v>
      </c>
      <c r="D5" s="3">
        <f t="shared" ref="D5:D9" si="0">PRODUCT(B5,C5)</f>
        <v>18.75</v>
      </c>
      <c r="E5" s="3">
        <f>Lösungen!C4</f>
        <v>3</v>
      </c>
      <c r="F5" s="3">
        <f t="shared" ref="F5:F9" si="1">PRODUCT(B5,E5)</f>
        <v>56.25</v>
      </c>
      <c r="G5" s="3">
        <f>Lösungen!D4</f>
        <v>2</v>
      </c>
      <c r="H5" s="3">
        <f t="shared" ref="H5:H9" si="2">PRODUCT(B5,G5)</f>
        <v>37.5</v>
      </c>
    </row>
    <row r="6" spans="1:8" x14ac:dyDescent="0.25">
      <c r="A6" s="3" t="s">
        <v>2</v>
      </c>
      <c r="B6" s="3" cm="1">
        <f t="array" ref="B6">INDEX(Szenarien!B:K, $B$1+1, 4)</f>
        <v>1.25</v>
      </c>
      <c r="C6" s="3">
        <f>Lösungen!B5</f>
        <v>3</v>
      </c>
      <c r="D6" s="3">
        <f t="shared" si="0"/>
        <v>3.75</v>
      </c>
      <c r="E6" s="3">
        <f>Lösungen!C5</f>
        <v>3</v>
      </c>
      <c r="F6" s="3">
        <f t="shared" si="1"/>
        <v>3.75</v>
      </c>
      <c r="G6" s="3">
        <f>Lösungen!D5</f>
        <v>3</v>
      </c>
      <c r="H6" s="3">
        <f t="shared" si="2"/>
        <v>3.75</v>
      </c>
    </row>
    <row r="7" spans="1:8" x14ac:dyDescent="0.25">
      <c r="A7" s="3" t="s">
        <v>3</v>
      </c>
      <c r="B7" s="3" cm="1">
        <f t="array" ref="B7">INDEX(Szenarien!B:K, $B$1+1, 5)</f>
        <v>18.75</v>
      </c>
      <c r="C7" s="3">
        <f>Lösungen!B6</f>
        <v>3</v>
      </c>
      <c r="D7" s="3">
        <f t="shared" si="0"/>
        <v>56.25</v>
      </c>
      <c r="E7" s="3">
        <f>Lösungen!C6</f>
        <v>2</v>
      </c>
      <c r="F7" s="3">
        <f t="shared" si="1"/>
        <v>37.5</v>
      </c>
      <c r="G7" s="3">
        <f>Lösungen!D6</f>
        <v>2</v>
      </c>
      <c r="H7" s="3">
        <f t="shared" si="2"/>
        <v>37.5</v>
      </c>
    </row>
    <row r="8" spans="1:8" x14ac:dyDescent="0.25">
      <c r="A8" s="3" t="s">
        <v>10</v>
      </c>
      <c r="B8" s="3" cm="1">
        <f t="array" ref="B8">INDEX(Szenarien!B:K, $B$1+1, 6)</f>
        <v>18.75</v>
      </c>
      <c r="C8" s="3">
        <f>Lösungen!B7</f>
        <v>3</v>
      </c>
      <c r="D8" s="3">
        <f t="shared" si="0"/>
        <v>56.25</v>
      </c>
      <c r="E8" s="3">
        <f>Lösungen!C7</f>
        <v>2</v>
      </c>
      <c r="F8" s="3">
        <f t="shared" si="1"/>
        <v>37.5</v>
      </c>
      <c r="G8" s="3">
        <f>Lösungen!D7</f>
        <v>1</v>
      </c>
      <c r="H8" s="3">
        <f t="shared" si="2"/>
        <v>18.75</v>
      </c>
    </row>
    <row r="9" spans="1:8" x14ac:dyDescent="0.25">
      <c r="A9" s="3" t="s">
        <v>5</v>
      </c>
      <c r="B9" s="3" cm="1">
        <f t="array" ref="B9">INDEX(Szenarien!B:K, $B$1+1, 7)</f>
        <v>1.25</v>
      </c>
      <c r="C9" s="3">
        <f>Lösungen!B8</f>
        <v>2</v>
      </c>
      <c r="D9" s="3">
        <f t="shared" si="0"/>
        <v>2.5</v>
      </c>
      <c r="E9" s="3">
        <f>Lösungen!C8</f>
        <v>3</v>
      </c>
      <c r="F9" s="3">
        <f t="shared" si="1"/>
        <v>3.75</v>
      </c>
      <c r="G9" s="3">
        <f>Lösungen!D8</f>
        <v>1</v>
      </c>
      <c r="H9" s="3">
        <f t="shared" si="2"/>
        <v>1.25</v>
      </c>
    </row>
    <row r="10" spans="1:8" x14ac:dyDescent="0.25">
      <c r="A10" s="3" t="s">
        <v>15</v>
      </c>
      <c r="B10" s="3" cm="1">
        <f t="array" ref="B10">INDEX(Szenarien!B:K, $B$1+1, 8)</f>
        <v>0</v>
      </c>
      <c r="C10" s="3">
        <f>Lösungen!B9</f>
        <v>2</v>
      </c>
      <c r="D10" s="3">
        <f>PRODUCT(B10,C10)</f>
        <v>0</v>
      </c>
      <c r="E10" s="3">
        <f>Lösungen!C9</f>
        <v>3</v>
      </c>
      <c r="F10" s="3">
        <f>PRODUCT(B10,E10)</f>
        <v>0</v>
      </c>
      <c r="G10" s="3">
        <f>Lösungen!D9</f>
        <v>1</v>
      </c>
      <c r="H10" s="3">
        <f>PRODUCT(B10,G10)</f>
        <v>0</v>
      </c>
    </row>
    <row r="11" spans="1:8" x14ac:dyDescent="0.25">
      <c r="A11" s="3" t="s">
        <v>20</v>
      </c>
      <c r="B11" s="3" cm="1">
        <f t="array" ref="B11">INDEX(Szenarien!B:K, $B$1+1, 9)</f>
        <v>18.75</v>
      </c>
      <c r="C11" s="3">
        <f>Lösungen!B10</f>
        <v>3</v>
      </c>
      <c r="D11" s="3">
        <f>PRODUCT(B11,C11)</f>
        <v>56.25</v>
      </c>
      <c r="E11" s="3">
        <f>Lösungen!C10</f>
        <v>1</v>
      </c>
      <c r="F11" s="3">
        <f>PRODUCT(B11,E11)</f>
        <v>18.75</v>
      </c>
      <c r="G11" s="3">
        <f>Lösungen!D10</f>
        <v>2</v>
      </c>
      <c r="H11" s="3">
        <f>PRODUCT(B11,G11)</f>
        <v>37.5</v>
      </c>
    </row>
    <row r="12" spans="1:8" x14ac:dyDescent="0.25">
      <c r="A12" s="3" t="s">
        <v>6</v>
      </c>
      <c r="B12" s="3" cm="1">
        <f t="array" ref="B12">INDEX(Szenarien!B:K, $B$1+1, 10)</f>
        <v>1.25</v>
      </c>
      <c r="C12" s="3">
        <f>Lösungen!B11</f>
        <v>3</v>
      </c>
      <c r="D12" s="3">
        <f t="shared" ref="D12" si="3">PRODUCT(B12,C12)</f>
        <v>3.75</v>
      </c>
      <c r="E12" s="3">
        <f>Lösungen!C11</f>
        <v>1</v>
      </c>
      <c r="F12" s="3">
        <f t="shared" ref="F12" si="4">PRODUCT(B12,E12)</f>
        <v>1.25</v>
      </c>
      <c r="G12" s="3">
        <f>Lösungen!D11</f>
        <v>2</v>
      </c>
      <c r="H12" s="3">
        <f t="shared" ref="H12" si="5">PRODUCT(B12,G12)</f>
        <v>2.5</v>
      </c>
    </row>
    <row r="13" spans="1:8" x14ac:dyDescent="0.25">
      <c r="A13" s="6" t="s">
        <v>13</v>
      </c>
      <c r="B13" s="6">
        <f>SUM(B3:B12)</f>
        <v>100</v>
      </c>
      <c r="C13" s="6"/>
      <c r="D13" s="6">
        <f t="shared" ref="D13:H13" si="6">SUM(D3:D12)</f>
        <v>223.75</v>
      </c>
      <c r="E13" s="6"/>
      <c r="F13" s="6">
        <f t="shared" si="6"/>
        <v>203.75</v>
      </c>
      <c r="G13" s="6"/>
      <c r="H13" s="6">
        <f t="shared" si="6"/>
        <v>197.5</v>
      </c>
    </row>
    <row r="14" spans="1:8" x14ac:dyDescent="0.25">
      <c r="A14" s="6" t="s">
        <v>39</v>
      </c>
      <c r="B14" s="6"/>
      <c r="C14" s="6"/>
      <c r="D14" s="6">
        <f>(D13-100)/2</f>
        <v>61.875</v>
      </c>
      <c r="E14" s="6"/>
      <c r="F14" s="6">
        <f>(F13-100)/2</f>
        <v>51.875</v>
      </c>
      <c r="G14" s="6"/>
      <c r="H14" s="6">
        <f>(H13-100)/2</f>
        <v>48.75</v>
      </c>
    </row>
    <row r="15" spans="1:8" x14ac:dyDescent="0.25">
      <c r="A15" s="6" t="s">
        <v>14</v>
      </c>
      <c r="B15" s="6"/>
      <c r="C15" s="6"/>
      <c r="D15" s="6">
        <f>1+(F13&gt;D13)+(H13&gt;D13)</f>
        <v>1</v>
      </c>
      <c r="E15" s="6"/>
      <c r="F15" s="6">
        <f>1+(D13&gt;F13)+(H13&gt;F13)</f>
        <v>2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83448-F0BC-46FC-BBB4-E081BD91570E}">
  <dimension ref="A1:H16"/>
  <sheetViews>
    <sheetView zoomScale="160" zoomScaleNormal="160" workbookViewId="0">
      <selection activeCell="A14" sqref="A14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3</v>
      </c>
      <c r="C1" s="24" t="s">
        <v>21</v>
      </c>
      <c r="D1" s="24"/>
      <c r="E1" s="24" t="s">
        <v>12</v>
      </c>
      <c r="F1" s="24"/>
      <c r="G1" s="24" t="s">
        <v>17</v>
      </c>
      <c r="H1" s="24"/>
    </row>
    <row r="2" spans="1:8" x14ac:dyDescent="0.25">
      <c r="A2" s="5" t="s">
        <v>9</v>
      </c>
      <c r="B2" s="5" t="s">
        <v>11</v>
      </c>
      <c r="C2" s="5" t="s">
        <v>38</v>
      </c>
      <c r="D2" s="5" t="s">
        <v>37</v>
      </c>
      <c r="E2" s="5" t="s">
        <v>38</v>
      </c>
      <c r="F2" s="5" t="s">
        <v>37</v>
      </c>
      <c r="G2" s="5" t="s">
        <v>38</v>
      </c>
      <c r="H2" s="5" t="s">
        <v>37</v>
      </c>
    </row>
    <row r="3" spans="1:8" x14ac:dyDescent="0.25">
      <c r="A3" s="3" t="s">
        <v>1</v>
      </c>
      <c r="B3" s="3" cm="1">
        <f t="array" ref="B3">INDEX(Szenarien!B:K, $B$1+1, 1)</f>
        <v>18.75</v>
      </c>
      <c r="C3" s="3">
        <f>Lösungen!B2</f>
        <v>1</v>
      </c>
      <c r="D3" s="3">
        <f>PRODUCT(B3,C3)</f>
        <v>18.75</v>
      </c>
      <c r="E3" s="3">
        <f>Lösungen!C2</f>
        <v>2</v>
      </c>
      <c r="F3" s="3">
        <f>PRODUCT(B3,E3)</f>
        <v>37.5</v>
      </c>
      <c r="G3" s="3">
        <f>Lösungen!D2</f>
        <v>3</v>
      </c>
      <c r="H3" s="3">
        <f>PRODUCT(B3,G3)</f>
        <v>56.25</v>
      </c>
    </row>
    <row r="4" spans="1:8" x14ac:dyDescent="0.25">
      <c r="A4" s="3" t="s">
        <v>7</v>
      </c>
      <c r="B4" s="3" cm="1">
        <f t="array" ref="B4">INDEX(Szenarien!B:K, $B$1+1, 2)</f>
        <v>2.5</v>
      </c>
      <c r="C4" s="3">
        <f>Lösungen!B3</f>
        <v>3</v>
      </c>
      <c r="D4" s="3">
        <f>PRODUCT(B4,C4)</f>
        <v>7.5</v>
      </c>
      <c r="E4" s="3">
        <f>Lösungen!C3</f>
        <v>3</v>
      </c>
      <c r="F4" s="3">
        <f>PRODUCT(B4,E4)</f>
        <v>7.5</v>
      </c>
      <c r="G4" s="3">
        <f>Lösungen!D3</f>
        <v>1</v>
      </c>
      <c r="H4" s="3">
        <f>PRODUCT(B4,G4)</f>
        <v>2.5</v>
      </c>
    </row>
    <row r="5" spans="1:8" x14ac:dyDescent="0.25">
      <c r="A5" s="3" t="s">
        <v>8</v>
      </c>
      <c r="B5" s="3" cm="1">
        <f t="array" ref="B5">INDEX(Szenarien!B:K, $B$1+1, 3)</f>
        <v>18.75</v>
      </c>
      <c r="C5" s="3">
        <f>Lösungen!B4</f>
        <v>1</v>
      </c>
      <c r="D5" s="3">
        <f t="shared" ref="D5:D9" si="0">PRODUCT(B5,C5)</f>
        <v>18.75</v>
      </c>
      <c r="E5" s="3">
        <f>Lösungen!C4</f>
        <v>3</v>
      </c>
      <c r="F5" s="3">
        <f t="shared" ref="F5:F9" si="1">PRODUCT(B5,E5)</f>
        <v>56.25</v>
      </c>
      <c r="G5" s="3">
        <f>Lösungen!D4</f>
        <v>2</v>
      </c>
      <c r="H5" s="3">
        <f t="shared" ref="H5:H9" si="2">PRODUCT(B5,G5)</f>
        <v>37.5</v>
      </c>
    </row>
    <row r="6" spans="1:8" x14ac:dyDescent="0.25">
      <c r="A6" s="3" t="s">
        <v>2</v>
      </c>
      <c r="B6" s="3" cm="1">
        <f t="array" ref="B6">INDEX(Szenarien!B:K, $B$1+1, 4)</f>
        <v>1.25</v>
      </c>
      <c r="C6" s="3">
        <f>Lösungen!B5</f>
        <v>3</v>
      </c>
      <c r="D6" s="3">
        <f t="shared" si="0"/>
        <v>3.75</v>
      </c>
      <c r="E6" s="3">
        <f>Lösungen!C5</f>
        <v>3</v>
      </c>
      <c r="F6" s="3">
        <f t="shared" si="1"/>
        <v>3.75</v>
      </c>
      <c r="G6" s="3">
        <f>Lösungen!D5</f>
        <v>3</v>
      </c>
      <c r="H6" s="3">
        <f t="shared" si="2"/>
        <v>3.75</v>
      </c>
    </row>
    <row r="7" spans="1:8" x14ac:dyDescent="0.25">
      <c r="A7" s="3" t="s">
        <v>3</v>
      </c>
      <c r="B7" s="3" cm="1">
        <f t="array" ref="B7">INDEX(Szenarien!B:K, $B$1+1, 5)</f>
        <v>1.25</v>
      </c>
      <c r="C7" s="3">
        <f>Lösungen!B6</f>
        <v>3</v>
      </c>
      <c r="D7" s="3">
        <f t="shared" si="0"/>
        <v>3.75</v>
      </c>
      <c r="E7" s="3">
        <f>Lösungen!C6</f>
        <v>2</v>
      </c>
      <c r="F7" s="3">
        <f t="shared" si="1"/>
        <v>2.5</v>
      </c>
      <c r="G7" s="3">
        <f>Lösungen!D6</f>
        <v>2</v>
      </c>
      <c r="H7" s="3">
        <f t="shared" si="2"/>
        <v>2.5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18.75</v>
      </c>
      <c r="C9" s="3">
        <f>Lösungen!B8</f>
        <v>2</v>
      </c>
      <c r="D9" s="3">
        <f t="shared" si="0"/>
        <v>37.5</v>
      </c>
      <c r="E9" s="3">
        <f>Lösungen!C8</f>
        <v>3</v>
      </c>
      <c r="F9" s="3">
        <f t="shared" si="1"/>
        <v>56.25</v>
      </c>
      <c r="G9" s="3">
        <f>Lösungen!D8</f>
        <v>1</v>
      </c>
      <c r="H9" s="3">
        <f t="shared" si="2"/>
        <v>18.75</v>
      </c>
    </row>
    <row r="10" spans="1:8" x14ac:dyDescent="0.25">
      <c r="A10" s="3" t="s">
        <v>15</v>
      </c>
      <c r="B10" s="3" cm="1">
        <f t="array" ref="B10">INDEX(Szenarien!B:K, $B$1+1, 8)</f>
        <v>18.75</v>
      </c>
      <c r="C10" s="3">
        <f>Lösungen!B9</f>
        <v>2</v>
      </c>
      <c r="D10" s="3">
        <f>PRODUCT(B10,C10)</f>
        <v>37.5</v>
      </c>
      <c r="E10" s="3">
        <f>Lösungen!C9</f>
        <v>3</v>
      </c>
      <c r="F10" s="3">
        <f>PRODUCT(B10,E10)</f>
        <v>56.25</v>
      </c>
      <c r="G10" s="3">
        <f>Lösungen!D9</f>
        <v>1</v>
      </c>
      <c r="H10" s="3">
        <f>PRODUCT(B10,G10)</f>
        <v>18.75</v>
      </c>
    </row>
    <row r="11" spans="1:8" x14ac:dyDescent="0.25">
      <c r="A11" s="3" t="s">
        <v>20</v>
      </c>
      <c r="B11" s="3" cm="1">
        <f t="array" ref="B11">INDEX(Szenarien!B:K, $B$1+1, 9)</f>
        <v>18.75</v>
      </c>
      <c r="C11" s="3">
        <f>Lösungen!B10</f>
        <v>3</v>
      </c>
      <c r="D11" s="3">
        <f>PRODUCT(B11,C11)</f>
        <v>56.25</v>
      </c>
      <c r="E11" s="3">
        <f>Lösungen!C10</f>
        <v>1</v>
      </c>
      <c r="F11" s="3">
        <f>PRODUCT(B11,E11)</f>
        <v>18.75</v>
      </c>
      <c r="G11" s="3">
        <f>Lösungen!D10</f>
        <v>2</v>
      </c>
      <c r="H11" s="3">
        <f>PRODUCT(B11,G11)</f>
        <v>37.5</v>
      </c>
    </row>
    <row r="12" spans="1:8" x14ac:dyDescent="0.25">
      <c r="A12" s="3" t="s">
        <v>6</v>
      </c>
      <c r="B12" s="3" cm="1">
        <f t="array" ref="B12">INDEX(Szenarien!B:K, $B$1+1, 10)</f>
        <v>1.25</v>
      </c>
      <c r="C12" s="3">
        <f>Lösungen!B11</f>
        <v>3</v>
      </c>
      <c r="D12" s="3">
        <f t="shared" ref="D12" si="3">PRODUCT(B12,C12)</f>
        <v>3.75</v>
      </c>
      <c r="E12" s="3">
        <f>Lösungen!C11</f>
        <v>1</v>
      </c>
      <c r="F12" s="3">
        <f t="shared" ref="F12" si="4">PRODUCT(B12,E12)</f>
        <v>1.25</v>
      </c>
      <c r="G12" s="3">
        <f>Lösungen!D11</f>
        <v>2</v>
      </c>
      <c r="H12" s="3">
        <f t="shared" ref="H12" si="5">PRODUCT(B12,G12)</f>
        <v>2.5</v>
      </c>
    </row>
    <row r="13" spans="1:8" x14ac:dyDescent="0.25">
      <c r="A13" s="6" t="s">
        <v>13</v>
      </c>
      <c r="B13" s="6">
        <f>SUM(B3:B12)</f>
        <v>100</v>
      </c>
      <c r="C13" s="6"/>
      <c r="D13" s="6">
        <f t="shared" ref="D13:H13" si="6">SUM(D3:D12)</f>
        <v>187.5</v>
      </c>
      <c r="E13" s="6"/>
      <c r="F13" s="6">
        <f t="shared" si="6"/>
        <v>240</v>
      </c>
      <c r="G13" s="6"/>
      <c r="H13" s="6">
        <f t="shared" si="6"/>
        <v>180</v>
      </c>
    </row>
    <row r="14" spans="1:8" x14ac:dyDescent="0.25">
      <c r="A14" s="6" t="s">
        <v>39</v>
      </c>
      <c r="B14" s="6"/>
      <c r="C14" s="6"/>
      <c r="D14" s="6">
        <f>(D13-100)/2</f>
        <v>43.75</v>
      </c>
      <c r="E14" s="6"/>
      <c r="F14" s="6">
        <f>(F13-100)/2</f>
        <v>70</v>
      </c>
      <c r="G14" s="6"/>
      <c r="H14" s="6">
        <f>(H13-100)/2</f>
        <v>40</v>
      </c>
    </row>
    <row r="15" spans="1:8" x14ac:dyDescent="0.25">
      <c r="A15" s="6" t="s">
        <v>14</v>
      </c>
      <c r="B15" s="6"/>
      <c r="C15" s="6"/>
      <c r="D15" s="6">
        <f>1+(F13&gt;D13)+(H13&gt;D13)</f>
        <v>2</v>
      </c>
      <c r="E15" s="6"/>
      <c r="F15" s="6">
        <f>1+(D13&gt;F13)+(H13&gt;F13)</f>
        <v>1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EB601-A1EC-4140-BB2C-E4DAC592EC40}">
  <dimension ref="A1:H16"/>
  <sheetViews>
    <sheetView zoomScale="160" zoomScaleNormal="160" workbookViewId="0">
      <selection activeCell="A14" sqref="A14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4</v>
      </c>
      <c r="C1" s="24" t="s">
        <v>21</v>
      </c>
      <c r="D1" s="24"/>
      <c r="E1" s="24" t="s">
        <v>12</v>
      </c>
      <c r="F1" s="24"/>
      <c r="G1" s="24" t="s">
        <v>17</v>
      </c>
      <c r="H1" s="24"/>
    </row>
    <row r="2" spans="1:8" x14ac:dyDescent="0.25">
      <c r="A2" s="5" t="s">
        <v>9</v>
      </c>
      <c r="B2" s="5" t="s">
        <v>11</v>
      </c>
      <c r="C2" s="5" t="s">
        <v>38</v>
      </c>
      <c r="D2" s="5" t="s">
        <v>37</v>
      </c>
      <c r="E2" s="5" t="s">
        <v>38</v>
      </c>
      <c r="F2" s="5" t="s">
        <v>37</v>
      </c>
      <c r="G2" s="5" t="s">
        <v>38</v>
      </c>
      <c r="H2" s="5" t="s">
        <v>37</v>
      </c>
    </row>
    <row r="3" spans="1:8" x14ac:dyDescent="0.25">
      <c r="A3" s="3" t="s">
        <v>1</v>
      </c>
      <c r="B3" s="3" cm="1">
        <f t="array" ref="B3">INDEX(Szenarien!B:K, $B$1+1, 1)</f>
        <v>7.95</v>
      </c>
      <c r="C3" s="3">
        <f>Lösungen!B2</f>
        <v>1</v>
      </c>
      <c r="D3" s="3">
        <f>PRODUCT(B3,C3)</f>
        <v>7.95</v>
      </c>
      <c r="E3" s="3">
        <f>Lösungen!C2</f>
        <v>2</v>
      </c>
      <c r="F3" s="3">
        <f>PRODUCT(B3,E3)</f>
        <v>15.9</v>
      </c>
      <c r="G3" s="3">
        <f>Lösungen!D2</f>
        <v>3</v>
      </c>
      <c r="H3" s="3">
        <f>PRODUCT(B3,G3)</f>
        <v>23.85</v>
      </c>
    </row>
    <row r="4" spans="1:8" x14ac:dyDescent="0.25">
      <c r="A4" s="3" t="s">
        <v>7</v>
      </c>
      <c r="B4" s="3" cm="1">
        <f t="array" ref="B4">INDEX(Szenarien!B:K, $B$1+1, 2)</f>
        <v>7.95</v>
      </c>
      <c r="C4" s="3">
        <f>Lösungen!B3</f>
        <v>3</v>
      </c>
      <c r="D4" s="3">
        <f>PRODUCT(B4,C4)</f>
        <v>23.85</v>
      </c>
      <c r="E4" s="3">
        <f>Lösungen!C3</f>
        <v>3</v>
      </c>
      <c r="F4" s="3">
        <f>PRODUCT(B4,E4)</f>
        <v>23.85</v>
      </c>
      <c r="G4" s="3">
        <f>Lösungen!D3</f>
        <v>1</v>
      </c>
      <c r="H4" s="3">
        <f>PRODUCT(B4,G4)</f>
        <v>7.95</v>
      </c>
    </row>
    <row r="5" spans="1:8" x14ac:dyDescent="0.25">
      <c r="A5" s="3" t="s">
        <v>8</v>
      </c>
      <c r="B5" s="3" cm="1">
        <f t="array" ref="B5">INDEX(Szenarien!B:K, $B$1+1, 3)</f>
        <v>7.95</v>
      </c>
      <c r="C5" s="3">
        <f>Lösungen!B4</f>
        <v>1</v>
      </c>
      <c r="D5" s="3">
        <f t="shared" ref="D5:D9" si="0">PRODUCT(B5,C5)</f>
        <v>7.95</v>
      </c>
      <c r="E5" s="3">
        <f>Lösungen!C4</f>
        <v>3</v>
      </c>
      <c r="F5" s="3">
        <f t="shared" ref="F5:F9" si="1">PRODUCT(B5,E5)</f>
        <v>23.85</v>
      </c>
      <c r="G5" s="3">
        <f>Lösungen!D4</f>
        <v>2</v>
      </c>
      <c r="H5" s="3">
        <f t="shared" ref="H5:H9" si="2">PRODUCT(B5,G5)</f>
        <v>15.9</v>
      </c>
    </row>
    <row r="6" spans="1:8" x14ac:dyDescent="0.25">
      <c r="A6" s="3" t="s">
        <v>2</v>
      </c>
      <c r="B6" s="3" cm="1">
        <f t="array" ref="B6">INDEX(Szenarien!B:K, $B$1+1, 4)</f>
        <v>7.95</v>
      </c>
      <c r="C6" s="3">
        <f>Lösungen!B5</f>
        <v>3</v>
      </c>
      <c r="D6" s="3">
        <f t="shared" si="0"/>
        <v>23.85</v>
      </c>
      <c r="E6" s="3">
        <f>Lösungen!C5</f>
        <v>3</v>
      </c>
      <c r="F6" s="3">
        <f t="shared" si="1"/>
        <v>23.85</v>
      </c>
      <c r="G6" s="3">
        <f>Lösungen!D5</f>
        <v>3</v>
      </c>
      <c r="H6" s="3">
        <f t="shared" si="2"/>
        <v>23.85</v>
      </c>
    </row>
    <row r="7" spans="1:8" x14ac:dyDescent="0.25">
      <c r="A7" s="3" t="s">
        <v>3</v>
      </c>
      <c r="B7" s="3" cm="1">
        <f t="array" ref="B7">INDEX(Szenarien!B:K, $B$1+1, 5)</f>
        <v>18.75</v>
      </c>
      <c r="C7" s="3">
        <f>Lösungen!B6</f>
        <v>3</v>
      </c>
      <c r="D7" s="3">
        <f t="shared" si="0"/>
        <v>56.25</v>
      </c>
      <c r="E7" s="3">
        <f>Lösungen!C6</f>
        <v>2</v>
      </c>
      <c r="F7" s="3">
        <f t="shared" si="1"/>
        <v>37.5</v>
      </c>
      <c r="G7" s="3">
        <f>Lösungen!D6</f>
        <v>2</v>
      </c>
      <c r="H7" s="3">
        <f t="shared" si="2"/>
        <v>37.5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18.75</v>
      </c>
      <c r="C9" s="3">
        <f>Lösungen!B8</f>
        <v>2</v>
      </c>
      <c r="D9" s="3">
        <f t="shared" si="0"/>
        <v>37.5</v>
      </c>
      <c r="E9" s="3">
        <f>Lösungen!C8</f>
        <v>3</v>
      </c>
      <c r="F9" s="3">
        <f t="shared" si="1"/>
        <v>56.25</v>
      </c>
      <c r="G9" s="3">
        <f>Lösungen!D8</f>
        <v>1</v>
      </c>
      <c r="H9" s="3">
        <f t="shared" si="2"/>
        <v>18.75</v>
      </c>
    </row>
    <row r="10" spans="1:8" x14ac:dyDescent="0.25">
      <c r="A10" s="3" t="s">
        <v>15</v>
      </c>
      <c r="B10" s="3" cm="1">
        <f t="array" ref="B10">INDEX(Szenarien!B:K, $B$1+1, 8)</f>
        <v>18.75</v>
      </c>
      <c r="C10" s="3">
        <f>Lösungen!B9</f>
        <v>2</v>
      </c>
      <c r="D10" s="3">
        <f>PRODUCT(B10,C10)</f>
        <v>37.5</v>
      </c>
      <c r="E10" s="3">
        <f>Lösungen!C9</f>
        <v>3</v>
      </c>
      <c r="F10" s="3">
        <f>PRODUCT(B10,E10)</f>
        <v>56.25</v>
      </c>
      <c r="G10" s="3">
        <f>Lösungen!D9</f>
        <v>1</v>
      </c>
      <c r="H10" s="3">
        <f>PRODUCT(B10,G10)</f>
        <v>18.75</v>
      </c>
    </row>
    <row r="11" spans="1:8" x14ac:dyDescent="0.25">
      <c r="A11" s="3" t="s">
        <v>20</v>
      </c>
      <c r="B11" s="3" cm="1">
        <f t="array" ref="B11">INDEX(Szenarien!B:K, $B$1+1, 9)</f>
        <v>7.95</v>
      </c>
      <c r="C11" s="3">
        <f>Lösungen!B10</f>
        <v>3</v>
      </c>
      <c r="D11" s="3">
        <f>PRODUCT(B11,C11)</f>
        <v>23.85</v>
      </c>
      <c r="E11" s="3">
        <f>Lösungen!C10</f>
        <v>1</v>
      </c>
      <c r="F11" s="3">
        <f>PRODUCT(B11,E11)</f>
        <v>7.95</v>
      </c>
      <c r="G11" s="3">
        <f>Lösungen!D10</f>
        <v>2</v>
      </c>
      <c r="H11" s="3">
        <f>PRODUCT(B11,G11)</f>
        <v>15.9</v>
      </c>
    </row>
    <row r="12" spans="1:8" x14ac:dyDescent="0.25">
      <c r="A12" s="3" t="s">
        <v>6</v>
      </c>
      <c r="B12" s="3" cm="1">
        <f t="array" ref="B12">INDEX(Szenarien!B:K, $B$1+1, 10)</f>
        <v>3.98</v>
      </c>
      <c r="C12" s="3">
        <f>Lösungen!B11</f>
        <v>3</v>
      </c>
      <c r="D12" s="3">
        <f t="shared" ref="D12" si="3">PRODUCT(B12,C12)</f>
        <v>11.94</v>
      </c>
      <c r="E12" s="3">
        <f>Lösungen!C11</f>
        <v>1</v>
      </c>
      <c r="F12" s="3">
        <f t="shared" ref="F12" si="4">PRODUCT(B12,E12)</f>
        <v>3.98</v>
      </c>
      <c r="G12" s="3">
        <f>Lösungen!D11</f>
        <v>2</v>
      </c>
      <c r="H12" s="3">
        <f t="shared" ref="H12" si="5">PRODUCT(B12,G12)</f>
        <v>7.96</v>
      </c>
    </row>
    <row r="13" spans="1:8" x14ac:dyDescent="0.25">
      <c r="A13" s="6" t="s">
        <v>13</v>
      </c>
      <c r="B13" s="6">
        <f>SUM(B3:B12)</f>
        <v>99.98</v>
      </c>
      <c r="C13" s="6"/>
      <c r="D13" s="6">
        <f t="shared" ref="D13:H13" si="6">SUM(D3:D12)</f>
        <v>230.64</v>
      </c>
      <c r="E13" s="6"/>
      <c r="F13" s="6">
        <f t="shared" si="6"/>
        <v>249.37999999999997</v>
      </c>
      <c r="G13" s="6"/>
      <c r="H13" s="6">
        <f t="shared" si="6"/>
        <v>170.41000000000003</v>
      </c>
    </row>
    <row r="14" spans="1:8" x14ac:dyDescent="0.25">
      <c r="A14" s="6" t="s">
        <v>39</v>
      </c>
      <c r="B14" s="6"/>
      <c r="C14" s="6"/>
      <c r="D14" s="6">
        <f>(D13-100)/2</f>
        <v>65.319999999999993</v>
      </c>
      <c r="E14" s="6"/>
      <c r="F14" s="6">
        <f>(F13-100)/2</f>
        <v>74.689999999999984</v>
      </c>
      <c r="G14" s="6"/>
      <c r="H14" s="6">
        <f>(H13-100)/2</f>
        <v>35.205000000000013</v>
      </c>
    </row>
    <row r="15" spans="1:8" x14ac:dyDescent="0.25">
      <c r="A15" s="6" t="s">
        <v>14</v>
      </c>
      <c r="B15" s="6"/>
      <c r="C15" s="6"/>
      <c r="D15" s="6">
        <f>1+(F13&gt;D13)+(H13&gt;D13)</f>
        <v>2</v>
      </c>
      <c r="E15" s="6"/>
      <c r="F15" s="6">
        <f>1+(D13&gt;F13)+(H13&gt;F13)</f>
        <v>1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3F71C-DFA9-4483-8482-DC0F39D93A94}">
  <dimension ref="A1:H16"/>
  <sheetViews>
    <sheetView zoomScale="160" zoomScaleNormal="160" workbookViewId="0">
      <selection activeCell="C21" sqref="C21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5</v>
      </c>
      <c r="C1" s="24" t="s">
        <v>21</v>
      </c>
      <c r="D1" s="24"/>
      <c r="E1" s="24" t="s">
        <v>12</v>
      </c>
      <c r="F1" s="24"/>
      <c r="G1" s="24" t="s">
        <v>17</v>
      </c>
      <c r="H1" s="24"/>
    </row>
    <row r="2" spans="1:8" x14ac:dyDescent="0.25">
      <c r="A2" s="5" t="s">
        <v>9</v>
      </c>
      <c r="B2" s="5" t="s">
        <v>11</v>
      </c>
      <c r="C2" s="5" t="s">
        <v>38</v>
      </c>
      <c r="D2" s="5" t="s">
        <v>37</v>
      </c>
      <c r="E2" s="5" t="s">
        <v>38</v>
      </c>
      <c r="F2" s="5" t="s">
        <v>37</v>
      </c>
      <c r="G2" s="5" t="s">
        <v>38</v>
      </c>
      <c r="H2" s="5" t="s">
        <v>37</v>
      </c>
    </row>
    <row r="3" spans="1:8" x14ac:dyDescent="0.25">
      <c r="A3" s="3" t="s">
        <v>1</v>
      </c>
      <c r="B3" s="3" cm="1">
        <f t="array" ref="B3">INDEX(Szenarien!B:K, $B$1+1, 1)</f>
        <v>3.98</v>
      </c>
      <c r="C3" s="3">
        <f>Lösungen!B2</f>
        <v>1</v>
      </c>
      <c r="D3" s="3">
        <f>PRODUCT(B3,C3)</f>
        <v>3.98</v>
      </c>
      <c r="E3" s="3">
        <f>Lösungen!C2</f>
        <v>2</v>
      </c>
      <c r="F3" s="3">
        <f>PRODUCT(B3,E3)</f>
        <v>7.96</v>
      </c>
      <c r="G3" s="3">
        <f>Lösungen!D2</f>
        <v>3</v>
      </c>
      <c r="H3" s="3">
        <f>PRODUCT(B3,G3)</f>
        <v>11.94</v>
      </c>
    </row>
    <row r="4" spans="1:8" x14ac:dyDescent="0.25">
      <c r="A4" s="3" t="s">
        <v>7</v>
      </c>
      <c r="B4" s="3" cm="1">
        <f t="array" ref="B4">INDEX(Szenarien!B:K, $B$1+1, 2)</f>
        <v>18.75</v>
      </c>
      <c r="C4" s="3">
        <f>Lösungen!B3</f>
        <v>3</v>
      </c>
      <c r="D4" s="3">
        <f>PRODUCT(B4,C4)</f>
        <v>56.25</v>
      </c>
      <c r="E4" s="3">
        <f>Lösungen!C3</f>
        <v>3</v>
      </c>
      <c r="F4" s="3">
        <f>PRODUCT(B4,E4)</f>
        <v>56.25</v>
      </c>
      <c r="G4" s="3">
        <f>Lösungen!D3</f>
        <v>1</v>
      </c>
      <c r="H4" s="3">
        <f>PRODUCT(B4,G4)</f>
        <v>18.75</v>
      </c>
    </row>
    <row r="5" spans="1:8" x14ac:dyDescent="0.25">
      <c r="A5" s="3" t="s">
        <v>8</v>
      </c>
      <c r="B5" s="3" cm="1">
        <f t="array" ref="B5">INDEX(Szenarien!B:K, $B$1+1, 3)</f>
        <v>7.95</v>
      </c>
      <c r="C5" s="3">
        <f>Lösungen!B4</f>
        <v>1</v>
      </c>
      <c r="D5" s="3">
        <f t="shared" ref="D5:D9" si="0">PRODUCT(B5,C5)</f>
        <v>7.95</v>
      </c>
      <c r="E5" s="3">
        <f>Lösungen!C4</f>
        <v>3</v>
      </c>
      <c r="F5" s="3">
        <f t="shared" ref="F5:F9" si="1">PRODUCT(B5,E5)</f>
        <v>23.85</v>
      </c>
      <c r="G5" s="3">
        <f>Lösungen!D4</f>
        <v>2</v>
      </c>
      <c r="H5" s="3">
        <f t="shared" ref="H5:H9" si="2">PRODUCT(B5,G5)</f>
        <v>15.9</v>
      </c>
    </row>
    <row r="6" spans="1:8" x14ac:dyDescent="0.25">
      <c r="A6" s="3" t="s">
        <v>2</v>
      </c>
      <c r="B6" s="3" cm="1">
        <f t="array" ref="B6">INDEX(Szenarien!B:K, $B$1+1, 4)</f>
        <v>7.95</v>
      </c>
      <c r="C6" s="3">
        <f>Lösungen!B5</f>
        <v>3</v>
      </c>
      <c r="D6" s="3">
        <f t="shared" si="0"/>
        <v>23.85</v>
      </c>
      <c r="E6" s="3">
        <f>Lösungen!C5</f>
        <v>3</v>
      </c>
      <c r="F6" s="3">
        <f t="shared" si="1"/>
        <v>23.85</v>
      </c>
      <c r="G6" s="3">
        <f>Lösungen!D5</f>
        <v>3</v>
      </c>
      <c r="H6" s="3">
        <f t="shared" si="2"/>
        <v>23.85</v>
      </c>
    </row>
    <row r="7" spans="1:8" x14ac:dyDescent="0.25">
      <c r="A7" s="3" t="s">
        <v>3</v>
      </c>
      <c r="B7" s="3" cm="1">
        <f t="array" ref="B7">INDEX(Szenarien!B:K, $B$1+1, 5)</f>
        <v>18.75</v>
      </c>
      <c r="C7" s="3">
        <f>Lösungen!B6</f>
        <v>3</v>
      </c>
      <c r="D7" s="3">
        <f t="shared" si="0"/>
        <v>56.25</v>
      </c>
      <c r="E7" s="3">
        <f>Lösungen!C6</f>
        <v>2</v>
      </c>
      <c r="F7" s="3">
        <f t="shared" si="1"/>
        <v>37.5</v>
      </c>
      <c r="G7" s="3">
        <f>Lösungen!D6</f>
        <v>2</v>
      </c>
      <c r="H7" s="3">
        <f t="shared" si="2"/>
        <v>37.5</v>
      </c>
    </row>
    <row r="8" spans="1:8" x14ac:dyDescent="0.25">
      <c r="A8" s="3" t="s">
        <v>10</v>
      </c>
      <c r="B8" s="3" cm="1">
        <f t="array" ref="B8">INDEX(Szenarien!B:K, $B$1+1, 6)</f>
        <v>18.75</v>
      </c>
      <c r="C8" s="3">
        <f>Lösungen!B7</f>
        <v>3</v>
      </c>
      <c r="D8" s="3">
        <f t="shared" si="0"/>
        <v>56.25</v>
      </c>
      <c r="E8" s="3">
        <f>Lösungen!C7</f>
        <v>2</v>
      </c>
      <c r="F8" s="3">
        <f t="shared" si="1"/>
        <v>37.5</v>
      </c>
      <c r="G8" s="3">
        <f>Lösungen!D7</f>
        <v>1</v>
      </c>
      <c r="H8" s="3">
        <f t="shared" si="2"/>
        <v>18.75</v>
      </c>
    </row>
    <row r="9" spans="1:8" x14ac:dyDescent="0.25">
      <c r="A9" s="3" t="s">
        <v>5</v>
      </c>
      <c r="B9" s="3" cm="1">
        <f t="array" ref="B9">INDEX(Szenarien!B:K, $B$1+1, 7)</f>
        <v>7.95</v>
      </c>
      <c r="C9" s="3">
        <f>Lösungen!B8</f>
        <v>2</v>
      </c>
      <c r="D9" s="3">
        <f t="shared" si="0"/>
        <v>15.9</v>
      </c>
      <c r="E9" s="3">
        <f>Lösungen!C8</f>
        <v>3</v>
      </c>
      <c r="F9" s="3">
        <f t="shared" si="1"/>
        <v>23.85</v>
      </c>
      <c r="G9" s="3">
        <f>Lösungen!D8</f>
        <v>1</v>
      </c>
      <c r="H9" s="3">
        <f t="shared" si="2"/>
        <v>7.95</v>
      </c>
    </row>
    <row r="10" spans="1:8" x14ac:dyDescent="0.25">
      <c r="A10" s="3" t="s">
        <v>15</v>
      </c>
      <c r="B10" s="3" cm="1">
        <f t="array" ref="B10">INDEX(Szenarien!B:K, $B$1+1, 8)</f>
        <v>3.98</v>
      </c>
      <c r="C10" s="3">
        <f>Lösungen!B9</f>
        <v>2</v>
      </c>
      <c r="D10" s="3">
        <f>PRODUCT(B10,C10)</f>
        <v>7.96</v>
      </c>
      <c r="E10" s="3">
        <f>Lösungen!C9</f>
        <v>3</v>
      </c>
      <c r="F10" s="3">
        <f>PRODUCT(B10,E10)</f>
        <v>11.94</v>
      </c>
      <c r="G10" s="3">
        <f>Lösungen!D9</f>
        <v>1</v>
      </c>
      <c r="H10" s="3">
        <f>PRODUCT(B10,G10)</f>
        <v>3.98</v>
      </c>
    </row>
    <row r="11" spans="1:8" x14ac:dyDescent="0.25">
      <c r="A11" s="3" t="s">
        <v>20</v>
      </c>
      <c r="B11" s="3" cm="1">
        <f t="array" ref="B11">INDEX(Szenarien!B:K, $B$1+1, 9)</f>
        <v>3.98</v>
      </c>
      <c r="C11" s="3">
        <f>Lösungen!B10</f>
        <v>3</v>
      </c>
      <c r="D11" s="3">
        <f>PRODUCT(B11,C11)</f>
        <v>11.94</v>
      </c>
      <c r="E11" s="3">
        <f>Lösungen!C10</f>
        <v>1</v>
      </c>
      <c r="F11" s="3">
        <f>PRODUCT(B11,E11)</f>
        <v>3.98</v>
      </c>
      <c r="G11" s="3">
        <f>Lösungen!D10</f>
        <v>2</v>
      </c>
      <c r="H11" s="3">
        <f>PRODUCT(B11,G11)</f>
        <v>7.96</v>
      </c>
    </row>
    <row r="12" spans="1:8" x14ac:dyDescent="0.25">
      <c r="A12" s="3" t="s">
        <v>6</v>
      </c>
      <c r="B12" s="3" cm="1">
        <f t="array" ref="B12">INDEX(Szenarien!B:K, $B$1+1, 10)</f>
        <v>7.95</v>
      </c>
      <c r="C12" s="3">
        <f>Lösungen!B11</f>
        <v>3</v>
      </c>
      <c r="D12" s="3">
        <f t="shared" ref="D12" si="3">PRODUCT(B12,C12)</f>
        <v>23.85</v>
      </c>
      <c r="E12" s="3">
        <f>Lösungen!C11</f>
        <v>1</v>
      </c>
      <c r="F12" s="3">
        <f t="shared" ref="F12" si="4">PRODUCT(B12,E12)</f>
        <v>7.95</v>
      </c>
      <c r="G12" s="3">
        <f>Lösungen!D11</f>
        <v>2</v>
      </c>
      <c r="H12" s="3">
        <f t="shared" ref="H12" si="5">PRODUCT(B12,G12)</f>
        <v>15.9</v>
      </c>
    </row>
    <row r="13" spans="1:8" x14ac:dyDescent="0.25">
      <c r="A13" s="6" t="s">
        <v>13</v>
      </c>
      <c r="B13" s="6">
        <f>SUM(B3:B12)</f>
        <v>99.990000000000009</v>
      </c>
      <c r="C13" s="6"/>
      <c r="D13" s="6">
        <f t="shared" ref="D13:H13" si="6">SUM(D3:D12)</f>
        <v>264.18</v>
      </c>
      <c r="E13" s="6"/>
      <c r="F13" s="6">
        <f t="shared" si="6"/>
        <v>234.62999999999997</v>
      </c>
      <c r="G13" s="6"/>
      <c r="H13" s="6">
        <f t="shared" si="6"/>
        <v>162.47999999999999</v>
      </c>
    </row>
    <row r="14" spans="1:8" x14ac:dyDescent="0.25">
      <c r="A14" s="6" t="s">
        <v>39</v>
      </c>
      <c r="B14" s="6"/>
      <c r="C14" s="6"/>
      <c r="D14" s="6">
        <f>(D13-100)/2</f>
        <v>82.09</v>
      </c>
      <c r="E14" s="6"/>
      <c r="F14" s="6">
        <f>(F13-100)/2</f>
        <v>67.314999999999984</v>
      </c>
      <c r="G14" s="6"/>
      <c r="H14" s="6">
        <f>(H13-100)/2</f>
        <v>31.239999999999995</v>
      </c>
    </row>
    <row r="15" spans="1:8" x14ac:dyDescent="0.25">
      <c r="A15" s="6" t="s">
        <v>14</v>
      </c>
      <c r="B15" s="6"/>
      <c r="C15" s="6"/>
      <c r="D15" s="6">
        <f>1+(F13&gt;D13)+(H13&gt;D13)</f>
        <v>1</v>
      </c>
      <c r="E15" s="6"/>
      <c r="F15" s="6">
        <f>1+(D13&gt;F13)+(H13&gt;F13)</f>
        <v>2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F8FD4-0E48-4BC3-A71A-44B08418BCE9}">
  <dimension ref="A1:H16"/>
  <sheetViews>
    <sheetView zoomScale="160" zoomScaleNormal="160" workbookViewId="0">
      <selection activeCell="A17" sqref="A17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6</v>
      </c>
      <c r="C1" s="24" t="s">
        <v>21</v>
      </c>
      <c r="D1" s="24"/>
      <c r="E1" s="24" t="s">
        <v>12</v>
      </c>
      <c r="F1" s="24"/>
      <c r="G1" s="24" t="s">
        <v>17</v>
      </c>
      <c r="H1" s="24"/>
    </row>
    <row r="2" spans="1:8" x14ac:dyDescent="0.25">
      <c r="A2" s="5" t="s">
        <v>9</v>
      </c>
      <c r="B2" s="5" t="s">
        <v>11</v>
      </c>
      <c r="C2" s="5" t="s">
        <v>38</v>
      </c>
      <c r="D2" s="5" t="s">
        <v>37</v>
      </c>
      <c r="E2" s="5" t="s">
        <v>38</v>
      </c>
      <c r="F2" s="5" t="s">
        <v>37</v>
      </c>
      <c r="G2" s="5" t="s">
        <v>38</v>
      </c>
      <c r="H2" s="5" t="s">
        <v>37</v>
      </c>
    </row>
    <row r="3" spans="1:8" x14ac:dyDescent="0.25">
      <c r="A3" s="3" t="s">
        <v>1</v>
      </c>
      <c r="B3" s="3" cm="1">
        <f t="array" ref="B3">INDEX(Szenarien!B:K, $B$1+1, 1)</f>
        <v>10</v>
      </c>
      <c r="C3" s="3">
        <f>Lösungen!B2</f>
        <v>1</v>
      </c>
      <c r="D3" s="3">
        <f>PRODUCT(B3,C3)</f>
        <v>10</v>
      </c>
      <c r="E3" s="3">
        <f>Lösungen!C2</f>
        <v>2</v>
      </c>
      <c r="F3" s="3">
        <f>PRODUCT(B3,E3)</f>
        <v>20</v>
      </c>
      <c r="G3" s="3">
        <f>Lösungen!D2</f>
        <v>3</v>
      </c>
      <c r="H3" s="3">
        <f>PRODUCT(B3,G3)</f>
        <v>30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3</v>
      </c>
      <c r="B7" s="3" cm="1">
        <f t="array" ref="B7">INDEX(Szenarien!B:K, $B$1+1, 5)</f>
        <v>10</v>
      </c>
      <c r="C7" s="3">
        <f>Lösungen!B6</f>
        <v>3</v>
      </c>
      <c r="D7" s="3">
        <f t="shared" si="0"/>
        <v>30</v>
      </c>
      <c r="E7" s="3">
        <f>Lösungen!C6</f>
        <v>2</v>
      </c>
      <c r="F7" s="3">
        <f t="shared" si="1"/>
        <v>20</v>
      </c>
      <c r="G7" s="3">
        <f>Lösungen!D6</f>
        <v>2</v>
      </c>
      <c r="H7" s="3">
        <f t="shared" si="2"/>
        <v>20</v>
      </c>
    </row>
    <row r="8" spans="1:8" x14ac:dyDescent="0.25">
      <c r="A8" s="3" t="s">
        <v>10</v>
      </c>
      <c r="B8" s="3" cm="1">
        <f t="array" ref="B8">INDEX(Szenarien!B:K, $B$1+1, 6)</f>
        <v>10</v>
      </c>
      <c r="C8" s="3">
        <f>Lösungen!B7</f>
        <v>3</v>
      </c>
      <c r="D8" s="3">
        <f t="shared" si="0"/>
        <v>30</v>
      </c>
      <c r="E8" s="3">
        <f>Lösungen!C7</f>
        <v>2</v>
      </c>
      <c r="F8" s="3">
        <f t="shared" si="1"/>
        <v>20</v>
      </c>
      <c r="G8" s="3">
        <f>Lösungen!D7</f>
        <v>1</v>
      </c>
      <c r="H8" s="3">
        <f t="shared" si="2"/>
        <v>10</v>
      </c>
    </row>
    <row r="9" spans="1:8" x14ac:dyDescent="0.25">
      <c r="A9" s="3" t="s">
        <v>5</v>
      </c>
      <c r="B9" s="3" cm="1">
        <f t="array" ref="B9">INDEX(Szenarien!B:K, $B$1+1, 7)</f>
        <v>10</v>
      </c>
      <c r="C9" s="3">
        <f>Lösungen!B8</f>
        <v>2</v>
      </c>
      <c r="D9" s="3">
        <f t="shared" si="0"/>
        <v>20</v>
      </c>
      <c r="E9" s="3">
        <f>Lösungen!C8</f>
        <v>3</v>
      </c>
      <c r="F9" s="3">
        <f t="shared" si="1"/>
        <v>30</v>
      </c>
      <c r="G9" s="3">
        <f>Lösungen!D8</f>
        <v>1</v>
      </c>
      <c r="H9" s="3">
        <f t="shared" si="2"/>
        <v>10</v>
      </c>
    </row>
    <row r="10" spans="1:8" x14ac:dyDescent="0.25">
      <c r="A10" s="3" t="s">
        <v>15</v>
      </c>
      <c r="B10" s="3" cm="1">
        <f t="array" ref="B10">INDEX(Szenarien!B:K, $B$1+1, 8)</f>
        <v>10</v>
      </c>
      <c r="C10" s="3">
        <f>Lösungen!B9</f>
        <v>2</v>
      </c>
      <c r="D10" s="3">
        <f>PRODUCT(B10,C10)</f>
        <v>20</v>
      </c>
      <c r="E10" s="3">
        <f>Lösungen!C9</f>
        <v>3</v>
      </c>
      <c r="F10" s="3">
        <f>PRODUCT(B10,E10)</f>
        <v>30</v>
      </c>
      <c r="G10" s="3">
        <f>Lösungen!D9</f>
        <v>1</v>
      </c>
      <c r="H10" s="3">
        <f>PRODUCT(B10,G10)</f>
        <v>10</v>
      </c>
    </row>
    <row r="11" spans="1:8" x14ac:dyDescent="0.25">
      <c r="A11" s="3" t="s">
        <v>20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10</v>
      </c>
      <c r="C12" s="3">
        <f>Lösungen!B11</f>
        <v>3</v>
      </c>
      <c r="D12" s="3">
        <f t="shared" ref="D12" si="3">PRODUCT(B12,C12)</f>
        <v>30</v>
      </c>
      <c r="E12" s="3">
        <f>Lösungen!C11</f>
        <v>1</v>
      </c>
      <c r="F12" s="3">
        <f t="shared" ref="F12" si="4">PRODUCT(B12,E12)</f>
        <v>10</v>
      </c>
      <c r="G12" s="3">
        <f>Lösungen!D11</f>
        <v>2</v>
      </c>
      <c r="H12" s="3">
        <f t="shared" ref="H12" si="5">PRODUCT(B12,G12)</f>
        <v>20</v>
      </c>
    </row>
    <row r="13" spans="1:8" x14ac:dyDescent="0.25">
      <c r="A13" s="6" t="s">
        <v>13</v>
      </c>
      <c r="B13" s="6">
        <f>SUM(B3:B12)</f>
        <v>100</v>
      </c>
      <c r="C13" s="6"/>
      <c r="D13" s="6">
        <f t="shared" ref="D13:H13" si="6">SUM(D3:D12)</f>
        <v>240</v>
      </c>
      <c r="E13" s="6"/>
      <c r="F13" s="6">
        <f t="shared" si="6"/>
        <v>230</v>
      </c>
      <c r="G13" s="6"/>
      <c r="H13" s="6">
        <f t="shared" si="6"/>
        <v>180</v>
      </c>
    </row>
    <row r="14" spans="1:8" x14ac:dyDescent="0.25">
      <c r="A14" s="6" t="s">
        <v>39</v>
      </c>
      <c r="B14" s="6"/>
      <c r="C14" s="6"/>
      <c r="D14" s="6">
        <f>(D13-100)/2</f>
        <v>70</v>
      </c>
      <c r="E14" s="6"/>
      <c r="F14" s="6">
        <f>(F13-100)/2</f>
        <v>65</v>
      </c>
      <c r="G14" s="6"/>
      <c r="H14" s="6">
        <f>(H13-100)/2</f>
        <v>40</v>
      </c>
    </row>
    <row r="15" spans="1:8" x14ac:dyDescent="0.25">
      <c r="A15" s="6" t="s">
        <v>14</v>
      </c>
      <c r="B15" s="6"/>
      <c r="C15" s="6"/>
      <c r="D15" s="6">
        <f>1+(F13&gt;D13)+(H13&gt;D13)</f>
        <v>1</v>
      </c>
      <c r="E15" s="6"/>
      <c r="F15" s="6">
        <f>1+(D13&gt;F13)+(H13&gt;F13)</f>
        <v>2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Szenarien</vt:lpstr>
      <vt:lpstr>Lösungen</vt:lpstr>
      <vt:lpstr>Vorlage</vt:lpstr>
      <vt:lpstr>Szenario 1</vt:lpstr>
      <vt:lpstr>Szenario 2</vt:lpstr>
      <vt:lpstr>Szenario 3</vt:lpstr>
      <vt:lpstr>Szenario 4</vt:lpstr>
      <vt:lpstr>Szenario 5</vt:lpstr>
      <vt:lpstr>Szenario 0 - Referenz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Niclas Sieveneck</dc:creator>
  <cp:lastModifiedBy>Niclas Sieveneck</cp:lastModifiedBy>
  <dcterms:created xsi:type="dcterms:W3CDTF">2026-05-29T18:03:36Z</dcterms:created>
  <dcterms:modified xsi:type="dcterms:W3CDTF">2026-08-03T22:28:24Z</dcterms:modified>
</cp:coreProperties>
</file>